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65b955660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bdb47e4fa6a44b0"/>
    <x:sheet xmlns:r="http://schemas.openxmlformats.org/officeDocument/2006/relationships" name="Roster" sheetId="2" r:id="R3bd8ae81c8b24105"/>
    <x:sheet xmlns:r="http://schemas.openxmlformats.org/officeDocument/2006/relationships" name="Capacity" sheetId="3" r:id="Ra2c9a5e8213e4985"/>
    <x:sheet xmlns:r="http://schemas.openxmlformats.org/officeDocument/2006/relationships" name="Assignments" sheetId="4" r:id="Rd592f8322b42421c"/>
    <x:sheet xmlns:r="http://schemas.openxmlformats.org/officeDocument/2006/relationships" name="Firm Summary" sheetId="5" r:id="Ra6431bd7905a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$&quot;0"/>
    <x:numFmt numFmtId="202" formatCode="0.0"/>
    <x:numFmt numFmtId="203" formatCode="0%"/>
  </x:numFmts>
  <x:fonts count="3">
    <x:font>
      <x:sz val="11"/>
      <x:name val="Carlito"/>
    </x:font>
    <x:font>
      <x:sz val="10"/>
      <x:color rgb="FF202E3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2E31"/>
      </x:patternFill>
    </x:fill>
    <x:fill>
      <x:patternFill patternType="solid">
        <x:fgColor rgb="FFF1F3E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04D24"/>
      </x:font>
      <x:fill>
        <x:patternFill patternType="solid">
          <x:bgColor rgb="FFF2E3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072b11df14a16" /><Relationship Type="http://schemas.openxmlformats.org/officeDocument/2006/relationships/theme" Target="/xl/theme/theme1.xml" Id="Rb26d4e2c42e44b9a" /><Relationship Type="http://schemas.openxmlformats.org/officeDocument/2006/relationships/sharedStrings" Target="/xl/sharedStrings.xml" Id="R2b5b589e01fc4b08" /><Relationship Type="http://schemas.openxmlformats.org/officeDocument/2006/relationships/worksheet" Target="/xl/worksheets/sheet1.xml" Id="R9bdb47e4fa6a44b0" /><Relationship Type="http://schemas.openxmlformats.org/officeDocument/2006/relationships/worksheet" Target="/xl/worksheets/sheet2.xml" Id="R3bd8ae81c8b24105" /><Relationship Type="http://schemas.openxmlformats.org/officeDocument/2006/relationships/worksheet" Target="/xl/worksheets/sheet3.xml" Id="Ra2c9a5e8213e4985" /><Relationship Type="http://schemas.openxmlformats.org/officeDocument/2006/relationships/worksheet" Target="/xl/worksheets/sheet4.xml" Id="Rd592f8322b42421c" /><Relationship Type="http://schemas.openxmlformats.org/officeDocument/2006/relationships/worksheet" Target="/xl/worksheets/sheet5.xml" Id="Ra6431bd7905a48da" /></Relationships>
</file>

<file path=xl/tables/table1.xml><?xml version="1.0" encoding="utf-8"?>
<x:table xmlns:x="http://schemas.openxmlformats.org/spreadsheetml/2006/main" id="1" name="ReadmeTable" displayName="ReadmeTable" ref="A1:B14" headerRowCount="1" totalsRowCount="0" totalsRowShown="0">
  <x:tableColumns count="2">
    <x:tableColumn id="1" name="Topic"/>
    <x:tableColumn id="2" name="Definition /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sterTable" displayName="RosterTable" ref="A1:K48" headerRowCount="1" totalsRowCount="0" totalsRowShown="0">
  <x:tableColumns count="11">
    <x:tableColumn id="1" name="Employee ID"/>
    <x:tableColumn id="2" name="Employee name"/>
    <x:tableColumn id="3" name="Current role"/>
    <x:tableColumn id="4" name="Office"/>
    <x:tableColumn id="5" name="Years experience"/>
    <x:tableColumn id="6" name="Joined Fieldwork"/>
    <x:tableColumn id="7" name="Credential"/>
    <x:tableColumn id="8" name="Expertise"/>
    <x:tableColumn id="9" name="Current resume"/>
    <x:tableColumn id="10" name="Weekly gross hours"/>
    <x:tableColumn id="11" name="Billing USD per ho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acityTable" displayName="CapacityTable" ref="A1:G189" headerRowCount="1" totalsRowCount="0" totalsRowShown="0">
  <x:tableColumns count="7">
    <x:tableColumn id="1" name="Employee ID"/>
    <x:tableColumn id="2" name="Employee name"/>
    <x:tableColumn id="3" name="Snapshot date"/>
    <x:tableColumn id="4" name="Gross weekly hours"/>
    <x:tableColumn id="5" name="Committed hours"/>
    <x:tableColumn id="6" name="Available hours"/>
    <x:tableColumn id="7" name="Allo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ignmentsTable" displayName="AssignmentsTable" ref="A1:E353" headerRowCount="1" totalsRowCount="0" totalsRowShown="0">
  <x:tableColumns count="5">
    <x:tableColumn id="1" name="Employee ID"/>
    <x:tableColumn id="2" name="Snapshot date"/>
    <x:tableColumn id="3" name="Project / internal ID"/>
    <x:tableColumn id="4" name="Commitment type"/>
    <x:tableColumn id="5" name="Weekly hou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rmSummaryTable" displayName="FirmSummaryTable" ref="A1:E5" headerRowCount="1" totalsRowCount="0" totalsRowShown="0">
  <x:tableColumns count="5">
    <x:tableColumn id="1" name="Snapshot date"/>
    <x:tableColumn id="2" name="Gross weekly hours"/>
    <x:tableColumn id="3" name="Committed hours"/>
    <x:tableColumn id="4" name="Available hours"/>
    <x:tableColumn id="5" name="Firm al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8f3e0f893c45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58cd02ab594c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58567a5a314d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d3bfdeda104d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f01c7828b649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0" hidden="0" customWidth="1"/>
  </x:cols>
  <x:sheetData>
    <x:row r="1" ht="34" customHeight="1">
      <x:c r="A1" s="5" t="str">
        <x:v>Topic</x:v>
      </x:c>
      <x:c r="B1" s="5" t="str">
        <x:v>Definition / source</x:v>
      </x:c>
    </x:row>
    <x:row r="2" ht="40" customHeight="1">
      <x:c r="A2" s="6" t="str">
        <x:v>Fieldwork Studio</x:v>
      </x:c>
      <x:c r="B2" s="6" t="str">
        <x:v>Staffing and capacity / snapshot 12 September 2026 / FW-S04 / version 1.0. All records are fictional.</x:v>
      </x:c>
    </x:row>
    <x:row r="3" ht="40" customHeight="1">
      <x:c r="A3" s="3" t="str">
        <x:v>Roster</x:v>
      </x:c>
      <x:c r="B3" s="3" t="str">
        <x:v>47 full-time employees, each on a 40-hour week. 41 delivery staff and 6 practice-support staff. Austin 30; Dallas 17.</x:v>
      </x:c>
    </x:row>
    <x:row r="4" ht="40" customHeight="1">
      <x:c r="A4" s="6" t="str">
        <x:v>Capacity basis</x:v>
      </x:c>
      <x:c r="B4" s="6" t="str">
        <x:v>Point-in-time representative weeks, not monthly actuals: current, +30, +60 and +90 calendar days. All-person commitment includes project work and internal operations.</x:v>
      </x:c>
    </x:row>
    <x:row r="5" ht="40" customHeight="1">
      <x:c r="A5" s="3" t="str">
        <x:v>Commitment</x:v>
      </x:c>
      <x:c r="B5" s="3" t="str">
        <x:v>Planned weekly hours from Assignments. Available hours = gross hours - committed hours. Allocation = committed / gross. Not a billable-utilization metric.</x:v>
      </x:c>
    </x:row>
    <x:row r="6" ht="40" customHeight="1">
      <x:c r="A6" s="6" t="str">
        <x:v>Horizon</x:v>
      </x:c>
      <x:c r="B6" s="6" t="str">
        <x:v>12 September, 12 October, 11 November, 11 December 2026. No January 2027 capacity forecast is supplied. Do not extrapolate availability as a confirmed commitment.</x:v>
      </x:c>
    </x:row>
    <x:row r="7" ht="40" customHeight="1">
      <x:c r="A7" s="3" t="str">
        <x:v>Time off</x:v>
      </x:c>
      <x:c r="B7" s="3" t="str">
        <x:v>No separate leave deduction in this representative-week model. Confirm actual calendar, holidays and approved leave before making a staffing commitment.</x:v>
      </x:c>
    </x:row>
    <x:row r="8" ht="40" customHeight="1">
      <x:c r="A8" s="6" t="str">
        <x:v>Forecast basis</x:v>
      </x:c>
      <x:c r="B8" s="6" t="str">
        <x:v>Current active contracts only plus internal practice allowance. Unawarded opportunities, including Colorado River Civic Waterfront, are excluded.</x:v>
      </x:c>
    </x:row>
    <x:row r="9" ht="40" customHeight="1">
      <x:c r="A9" s="3" t="str">
        <x:v>Assignment detail</x:v>
      </x:c>
      <x:c r="B9" s="3" t="str">
        <x:v>Each delivery employee has a controlling active project for this planning export. INTERNAL denotes practice or pursuit allowance; support roles carry studio operations. Not a timesheet.</x:v>
      </x:c>
    </x:row>
    <x:row r="10" ht="40" customHeight="1">
      <x:c r="A10" s="6" t="str">
        <x:v>Rates</x:v>
      </x:c>
      <x:c r="B10" s="6" t="str">
        <x:v>Indicative standard billing rates in USD/hour as of 12 September 2026, not salaries or direct labor costs. Support roles have no external billing rate.</x:v>
      </x:c>
    </x:row>
    <x:row r="11" ht="40" customHeight="1">
      <x:c r="A11" s="3" t="str">
        <x:v>Resume status</x:v>
      </x:c>
      <x:c r="B11" s="3" t="str">
        <x:v>44 current resumes, FW-E001 through FW-E044. FW-E045 through FW-E047 lack current resumes.</x:v>
      </x:c>
    </x:row>
    <x:row r="12" ht="40" customHeight="1">
      <x:c r="A12" s="6" t="str">
        <x:v>Authority</x:v>
      </x:c>
      <x:c r="B12" s="6" t="str">
        <x:v>This roster governs current role, office and employment. Project Database / Project Teams governs named project relationships.</x:v>
      </x:c>
    </x:row>
    <x:row r="13" ht="40" customHeight="1">
      <x:c r="A13" s="3" t="str">
        <x:v>Source owner</x:v>
      </x:c>
      <x:c r="B13" s="3" t="str">
        <x:v>Rachel Stone, Finance Manager / September planning cycle. Forecasts approved by Elena Marquez.</x:v>
      </x:c>
    </x:row>
    <x:row r="14" ht="40" customHeight="1">
      <x:c r="A14" s="6" t="str">
        <x:v>Planning caution</x:v>
      </x:c>
      <x:c r="B14" s="6" t="str">
        <x:v>A positive available-hours balance does not establish disciplinary competence or approve a team commitment. Match role, experience and timing together.</x:v>
      </x:c>
    </x:row>
  </x:sheetData>
  <x:pageMargins left="0.7" right="0.7" top="0.75" bottom="0.75" header="0.3" footer="0.3"/>
  <x:tableParts count="1">
    <x:tablePart xmlns:r="http://schemas.openxmlformats.org/officeDocument/2006/relationships" r:id="R1b8f3e0f893c454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30" hidden="0" customWidth="1"/>
    <x:col min="4" max="4" width="16" hidden="0" customWidth="1"/>
    <x:col min="5" max="5" width="18" hidden="0" customWidth="1"/>
    <x:col min="6" max="6" width="20" hidden="0" customWidth="1"/>
    <x:col min="7" max="7" width="28" hidden="0" customWidth="1"/>
    <x:col min="8" max="8" width="63" hidden="0" customWidth="1"/>
    <x:col min="9" max="9" width="19" hidden="0" customWidth="1"/>
    <x:col min="10" max="10" width="22" hidden="0" customWidth="1"/>
    <x:col min="11" max="11" width="23" hidden="0" customWidth="1"/>
  </x:cols>
  <x:sheetData>
    <x:row r="1" ht="57" customHeight="1">
      <x:c r="A1" s="5" t="str">
        <x:v>Employee ID</x:v>
      </x:c>
      <x:c r="B1" s="5" t="str">
        <x:v>Employee name</x:v>
      </x:c>
      <x:c r="C1" s="5" t="str">
        <x:v>Current role</x:v>
      </x:c>
      <x:c r="D1" s="5" t="str">
        <x:v>Office</x:v>
      </x:c>
      <x:c r="E1" s="5" t="str">
        <x:v>Years experience</x:v>
      </x:c>
      <x:c r="F1" s="5" t="str">
        <x:v>Joined Fieldwork</x:v>
      </x:c>
      <x:c r="G1" s="5" t="str">
        <x:v>Credential</x:v>
      </x:c>
      <x:c r="H1" s="5" t="str">
        <x:v>Expertise</x:v>
      </x:c>
      <x:c r="I1" s="5" t="str">
        <x:v>Current resume</x:v>
      </x:c>
      <x:c r="J1" s="5" t="str">
        <x:v>Weekly gross hours</x:v>
      </x:c>
      <x:c r="K1" s="5" t="str">
        <x:v>Billing USD per hour</x:v>
      </x:c>
    </x:row>
    <x:row r="2" ht="57" customHeight="1">
      <x:c r="A2" s="6" t="str">
        <x:v>FW-E001</x:v>
      </x:c>
      <x:c r="B2" s="6" t="str">
        <x:v>Elena Marquez</x:v>
      </x:c>
      <x:c r="C2" s="6" t="str">
        <x:v>Managing Principal</x:v>
      </x:c>
      <x:c r="D2" s="6" t="str">
        <x:v>Austin</x:v>
      </x:c>
      <x:c r="E2" s="6" t="n">
        <x:v>18</x:v>
      </x:c>
      <x:c r="F2" s="7" t="n">
        <x:v>39462</x:v>
      </x:c>
      <x:c r="G2" s="6" t="str">
        <x:v>PLA (TX; fictional)</x:v>
      </x:c>
      <x:c r="H2" s="6" t="str">
        <x:v>Public Realm; Urban Design; Civic; Complex Stakeholder Projects</x:v>
      </x:c>
      <x:c r="I2" s="6" t="str">
        <x:v>On file</x:v>
      </x:c>
      <x:c r="J2" s="6" t="n">
        <x:v>40</x:v>
      </x:c>
      <x:c r="K2" s="9" t="n">
        <x:v>285</x:v>
      </x:c>
    </x:row>
    <x:row r="3" ht="57" customHeight="1">
      <x:c r="A3" s="3" t="str">
        <x:v>FW-E002</x:v>
      </x:c>
      <x:c r="B3" s="3" t="str">
        <x:v>Daniel Kim</x:v>
      </x:c>
      <x:c r="C3" s="3" t="str">
        <x:v>Principal</x:v>
      </x:c>
      <x:c r="D3" s="3" t="str">
        <x:v>Austin</x:v>
      </x:c>
      <x:c r="E3" s="3" t="n">
        <x:v>16</x:v>
      </x:c>
      <x:c r="F3" s="8" t="n">
        <x:v>40193</x:v>
      </x:c>
      <x:c r="G3" s="3" t="str">
        <x:v>PLA (TX; fictional)</x:v>
      </x:c>
      <x:c r="H3" s="3" t="str">
        <x:v>Higher Education; Public Realm; Campus Planning; Resilient Landscapes</x:v>
      </x:c>
      <x:c r="I3" s="3" t="str">
        <x:v>On file</x:v>
      </x:c>
      <x:c r="J3" s="3" t="n">
        <x:v>40</x:v>
      </x:c>
      <x:c r="K3" s="10" t="n">
        <x:v>260</x:v>
      </x:c>
    </x:row>
    <x:row r="4" ht="57" customHeight="1">
      <x:c r="A4" s="6" t="str">
        <x:v>FW-E003</x:v>
      </x:c>
      <x:c r="B4" s="6" t="str">
        <x:v>Maya Thompson</x:v>
      </x:c>
      <x:c r="C4" s="6" t="str">
        <x:v>Principal</x:v>
      </x:c>
      <x:c r="D4" s="6" t="str">
        <x:v>Dallas</x:v>
      </x:c>
      <x:c r="E4" s="6" t="n">
        <x:v>15</x:v>
      </x:c>
      <x:c r="F4" s="7" t="n">
        <x:v>40558</x:v>
      </x:c>
      <x:c r="G4" s="6" t="str">
        <x:v>PLA (TX; fictional)</x:v>
      </x:c>
      <x:c r="H4" s="6" t="str">
        <x:v>Hospitality; Mixed Use; Urban Design</x:v>
      </x:c>
      <x:c r="I4" s="6" t="str">
        <x:v>On file</x:v>
      </x:c>
      <x:c r="J4" s="6" t="n">
        <x:v>40</x:v>
      </x:c>
      <x:c r="K4" s="9" t="n">
        <x:v>260</x:v>
      </x:c>
    </x:row>
    <x:row r="5" ht="57" customHeight="1">
      <x:c r="A5" s="3" t="str">
        <x:v>FW-E004</x:v>
      </x:c>
      <x:c r="B5" s="3" t="str">
        <x:v>Noah Williams</x:v>
      </x:c>
      <x:c r="C5" s="3" t="str">
        <x:v>Senior Project Manager</x:v>
      </x:c>
      <x:c r="D5" s="3" t="str">
        <x:v>Austin</x:v>
      </x:c>
      <x:c r="E5" s="3" t="n">
        <x:v>11</x:v>
      </x:c>
      <x:c r="F5" s="8" t="n">
        <x:v>42019</x:v>
      </x:c>
      <x:c r="G5" s="3" t="str">
        <x:v>PLA (TX; fictional)</x:v>
      </x:c>
      <x:c r="H5" s="3" t="str">
        <x:v>Public Realm; Parks; Municipal Projects; Project Delivery</x:v>
      </x:c>
      <x:c r="I5" s="3" t="str">
        <x:v>On file</x:v>
      </x:c>
      <x:c r="J5" s="3" t="n">
        <x:v>40</x:v>
      </x:c>
      <x:c r="K5" s="10" t="n">
        <x:v>195</x:v>
      </x:c>
    </x:row>
    <x:row r="6" ht="57" customHeight="1">
      <x:c r="A6" s="6" t="str">
        <x:v>FW-E005</x:v>
      </x:c>
      <x:c r="B6" s="6" t="str">
        <x:v>Priya Shah</x:v>
      </x:c>
      <x:c r="C6" s="6" t="str">
        <x:v>Project Manager</x:v>
      </x:c>
      <x:c r="D6" s="6" t="str">
        <x:v>Austin</x:v>
      </x:c>
      <x:c r="E6" s="6" t="n">
        <x:v>8</x:v>
      </x:c>
      <x:c r="F6" s="7" t="n">
        <x:v>43115</x:v>
      </x:c>
      <x:c r="G6" s="6" t="str">
        <x:v>PLA (TX; fictional)</x:v>
      </x:c>
      <x:c r="H6" s="6" t="str">
        <x:v>Higher Education; Public Realm; Sustainable Design</x:v>
      </x:c>
      <x:c r="I6" s="6" t="str">
        <x:v>On file</x:v>
      </x:c>
      <x:c r="J6" s="6" t="n">
        <x:v>40</x:v>
      </x:c>
      <x:c r="K6" s="9" t="n">
        <x:v>170</x:v>
      </x:c>
    </x:row>
    <x:row r="7" ht="57" customHeight="1">
      <x:c r="A7" s="3" t="str">
        <x:v>FW-E006</x:v>
      </x:c>
      <x:c r="B7" s="3" t="str">
        <x:v>Lucas Bennett</x:v>
      </x:c>
      <x:c r="C7" s="3" t="str">
        <x:v>Senior Designer</x:v>
      </x:c>
      <x:c r="D7" s="3" t="str">
        <x:v>Austin</x:v>
      </x:c>
      <x:c r="E7" s="3" t="n">
        <x:v>6</x:v>
      </x:c>
      <x:c r="F7" s="8" t="n">
        <x:v>43845</x:v>
      </x:c>
      <x:c r="G7" s="3" t="str">
        <x:v>Not registered</x:v>
      </x:c>
      <x:c r="H7" s="3" t="str">
        <x:v>Urban Design; Visualization; Public Realm</x:v>
      </x:c>
      <x:c r="I7" s="3" t="str">
        <x:v>On file</x:v>
      </x:c>
      <x:c r="J7" s="3" t="n">
        <x:v>40</x:v>
      </x:c>
      <x:c r="K7" s="10" t="n">
        <x:v>145</x:v>
      </x:c>
    </x:row>
    <x:row r="8" ht="57" customHeight="1">
      <x:c r="A8" s="6" t="str">
        <x:v>FW-E007</x:v>
      </x:c>
      <x:c r="B8" s="6" t="str">
        <x:v>Sofia Ramirez</x:v>
      </x:c>
      <x:c r="C8" s="6" t="str">
        <x:v>Landscape Designer</x:v>
      </x:c>
      <x:c r="D8" s="6" t="str">
        <x:v>Austin</x:v>
      </x:c>
      <x:c r="E8" s="6" t="n">
        <x:v>4</x:v>
      </x:c>
      <x:c r="F8" s="7" t="n">
        <x:v>44576</x:v>
      </x:c>
      <x:c r="G8" s="6" t="str">
        <x:v>Not registered</x:v>
      </x:c>
      <x:c r="H8" s="6" t="str">
        <x:v>Planting Design; Ecology; Public Realm</x:v>
      </x:c>
      <x:c r="I8" s="6" t="str">
        <x:v>On file</x:v>
      </x:c>
      <x:c r="J8" s="6" t="n">
        <x:v>40</x:v>
      </x:c>
      <x:c r="K8" s="9" t="n">
        <x:v>120</x:v>
      </x:c>
    </x:row>
    <x:row r="9" ht="57" customHeight="1">
      <x:c r="A9" s="3" t="str">
        <x:v>FW-E008</x:v>
      </x:c>
      <x:c r="B9" s="3" t="str">
        <x:v>Ethan Cole</x:v>
      </x:c>
      <x:c r="C9" s="3" t="str">
        <x:v>Landscape Designer</x:v>
      </x:c>
      <x:c r="D9" s="3" t="str">
        <x:v>Dallas</x:v>
      </x:c>
      <x:c r="E9" s="3" t="n">
        <x:v>3</x:v>
      </x:c>
      <x:c r="F9" s="8" t="n">
        <x:v>44941</x:v>
      </x:c>
      <x:c r="G9" s="3" t="str">
        <x:v>Not registered</x:v>
      </x:c>
      <x:c r="H9" s="3" t="str">
        <x:v>Hospitality; Mixed Use; Visualization</x:v>
      </x:c>
      <x:c r="I9" s="3" t="str">
        <x:v>On file</x:v>
      </x:c>
      <x:c r="J9" s="3" t="n">
        <x:v>40</x:v>
      </x:c>
      <x:c r="K9" s="10" t="n">
        <x:v>115</x:v>
      </x:c>
    </x:row>
    <x:row r="10" ht="57" customHeight="1">
      <x:c r="A10" s="6" t="str">
        <x:v>FW-E009</x:v>
      </x:c>
      <x:c r="B10" s="6" t="str">
        <x:v>Olivia Chen</x:v>
      </x:c>
      <x:c r="C10" s="6" t="str">
        <x:v>Senior Project Manager</x:v>
      </x:c>
      <x:c r="D10" s="6" t="str">
        <x:v>Austin</x:v>
      </x:c>
      <x:c r="E10" s="6" t="n">
        <x:v>14</x:v>
      </x:c>
      <x:c r="F10" s="7" t="n">
        <x:v>40923</x:v>
      </x:c>
      <x:c r="G10" s="6" t="str">
        <x:v>PLA (TX; fictional)</x:v>
      </x:c>
      <x:c r="H10" s="6" t="str">
        <x:v>Public Realm; Planting Design; Construction Documentation</x:v>
      </x:c>
      <x:c r="I10" s="6" t="str">
        <x:v>On file</x:v>
      </x:c>
      <x:c r="J10" s="6" t="n">
        <x:v>40</x:v>
      </x:c>
      <x:c r="K10" s="9" t="n">
        <x:v>195</x:v>
      </x:c>
    </x:row>
    <x:row r="11" ht="57" customHeight="1">
      <x:c r="A11" s="3" t="str">
        <x:v>FW-E010</x:v>
      </x:c>
      <x:c r="B11" s="3" t="str">
        <x:v>Marcus Reed</x:v>
      </x:c>
      <x:c r="C11" s="3" t="str">
        <x:v>Senior Project Manager</x:v>
      </x:c>
      <x:c r="D11" s="3" t="str">
        <x:v>Austin</x:v>
      </x:c>
      <x:c r="E11" s="3" t="n">
        <x:v>13</x:v>
      </x:c>
      <x:c r="F11" s="8" t="n">
        <x:v>41289</x:v>
      </x:c>
      <x:c r="G11" s="3" t="str">
        <x:v>PLA (TX; fictional)</x:v>
      </x:c>
      <x:c r="H11" s="3" t="str">
        <x:v>Higher Education; Campus Planning; Community Engagement</x:v>
      </x:c>
      <x:c r="I11" s="3" t="str">
        <x:v>On file</x:v>
      </x:c>
      <x:c r="J11" s="3" t="n">
        <x:v>40</x:v>
      </x:c>
      <x:c r="K11" s="10" t="n">
        <x:v>195</x:v>
      </x:c>
    </x:row>
    <x:row r="12" ht="57" customHeight="1">
      <x:c r="A12" s="6" t="str">
        <x:v>FW-E011</x:v>
      </x:c>
      <x:c r="B12" s="6" t="str">
        <x:v>Ava Patel</x:v>
      </x:c>
      <x:c r="C12" s="6" t="str">
        <x:v>Senior Project Manager</x:v>
      </x:c>
      <x:c r="D12" s="6" t="str">
        <x:v>Austin</x:v>
      </x:c>
      <x:c r="E12" s="6" t="n">
        <x:v>12</x:v>
      </x:c>
      <x:c r="F12" s="7" t="n">
        <x:v>41654</x:v>
      </x:c>
      <x:c r="G12" s="6" t="str">
        <x:v>PLA (TX; fictional)</x:v>
      </x:c>
      <x:c r="H12" s="6" t="str">
        <x:v>Mixed Use; Urban Design; Construction Administration</x:v>
      </x:c>
      <x:c r="I12" s="6" t="str">
        <x:v>On file</x:v>
      </x:c>
      <x:c r="J12" s="6" t="n">
        <x:v>40</x:v>
      </x:c>
      <x:c r="K12" s="9" t="n">
        <x:v>195</x:v>
      </x:c>
    </x:row>
    <x:row r="13" ht="57" customHeight="1">
      <x:c r="A13" s="3" t="str">
        <x:v>FW-E012</x:v>
      </x:c>
      <x:c r="B13" s="3" t="str">
        <x:v>Benjamin Foster</x:v>
      </x:c>
      <x:c r="C13" s="3" t="str">
        <x:v>Senior Project Manager</x:v>
      </x:c>
      <x:c r="D13" s="3" t="str">
        <x:v>Austin</x:v>
      </x:c>
      <x:c r="E13" s="3" t="n">
        <x:v>11</x:v>
      </x:c>
      <x:c r="F13" s="8" t="n">
        <x:v>42019</x:v>
      </x:c>
      <x:c r="G13" s="3" t="str">
        <x:v>PLA (TX; fictional)</x:v>
      </x:c>
      <x:c r="H13" s="3" t="str">
        <x:v>Hospitality; Planting Design; Visualization</x:v>
      </x:c>
      <x:c r="I13" s="3" t="str">
        <x:v>On file</x:v>
      </x:c>
      <x:c r="J13" s="3" t="n">
        <x:v>40</x:v>
      </x:c>
      <x:c r="K13" s="10" t="n">
        <x:v>195</x:v>
      </x:c>
    </x:row>
    <x:row r="14" ht="57" customHeight="1">
      <x:c r="A14" s="6" t="str">
        <x:v>FW-E013</x:v>
      </x:c>
      <x:c r="B14" s="6" t="str">
        <x:v>Isabella Torres</x:v>
      </x:c>
      <x:c r="C14" s="6" t="str">
        <x:v>Project Manager</x:v>
      </x:c>
      <x:c r="D14" s="6" t="str">
        <x:v>Austin</x:v>
      </x:c>
      <x:c r="E14" s="6" t="n">
        <x:v>9</x:v>
      </x:c>
      <x:c r="F14" s="7" t="n">
        <x:v>42750</x:v>
      </x:c>
      <x:c r="G14" s="6" t="str">
        <x:v>PLA (TX; fictional)</x:v>
      </x:c>
      <x:c r="H14" s="6" t="str">
        <x:v>Public Realm; Planting Design; Construction Documentation</x:v>
      </x:c>
      <x:c r="I14" s="6" t="str">
        <x:v>On file</x:v>
      </x:c>
      <x:c r="J14" s="6" t="n">
        <x:v>40</x:v>
      </x:c>
      <x:c r="K14" s="9" t="n">
        <x:v>170</x:v>
      </x:c>
    </x:row>
    <x:row r="15" ht="57" customHeight="1">
      <x:c r="A15" s="3" t="str">
        <x:v>FW-E014</x:v>
      </x:c>
      <x:c r="B15" s="3" t="str">
        <x:v>Henry Brooks</x:v>
      </x:c>
      <x:c r="C15" s="3" t="str">
        <x:v>Project Manager</x:v>
      </x:c>
      <x:c r="D15" s="3" t="str">
        <x:v>Austin</x:v>
      </x:c>
      <x:c r="E15" s="3" t="n">
        <x:v>10</x:v>
      </x:c>
      <x:c r="F15" s="8" t="n">
        <x:v>42384</x:v>
      </x:c>
      <x:c r="G15" s="3" t="str">
        <x:v>PLA (TX; fictional)</x:v>
      </x:c>
      <x:c r="H15" s="3" t="str">
        <x:v>Higher Education; Campus Planning; Community Engagement</x:v>
      </x:c>
      <x:c r="I15" s="3" t="str">
        <x:v>On file</x:v>
      </x:c>
      <x:c r="J15" s="3" t="n">
        <x:v>40</x:v>
      </x:c>
      <x:c r="K15" s="10" t="n">
        <x:v>170</x:v>
      </x:c>
    </x:row>
    <x:row r="16" ht="57" customHeight="1">
      <x:c r="A16" s="6" t="str">
        <x:v>FW-E015</x:v>
      </x:c>
      <x:c r="B16" s="6" t="str">
        <x:v>Amelia Nguyen</x:v>
      </x:c>
      <x:c r="C16" s="6" t="str">
        <x:v>Project Manager</x:v>
      </x:c>
      <x:c r="D16" s="6" t="str">
        <x:v>Austin</x:v>
      </x:c>
      <x:c r="E16" s="6" t="n">
        <x:v>11</x:v>
      </x:c>
      <x:c r="F16" s="7" t="n">
        <x:v>42019</x:v>
      </x:c>
      <x:c r="G16" s="6" t="str">
        <x:v>PLA (TX; fictional)</x:v>
      </x:c>
      <x:c r="H16" s="6" t="str">
        <x:v>Mixed Use; Urban Design; Construction Administration</x:v>
      </x:c>
      <x:c r="I16" s="6" t="str">
        <x:v>On file</x:v>
      </x:c>
      <x:c r="J16" s="6" t="n">
        <x:v>40</x:v>
      </x:c>
      <x:c r="K16" s="9" t="n">
        <x:v>170</x:v>
      </x:c>
    </x:row>
    <x:row r="17" ht="57" customHeight="1">
      <x:c r="A17" s="3" t="str">
        <x:v>FW-E016</x:v>
      </x:c>
      <x:c r="B17" s="3" t="str">
        <x:v>Samuel Ortiz</x:v>
      </x:c>
      <x:c r="C17" s="3" t="str">
        <x:v>Project Manager</x:v>
      </x:c>
      <x:c r="D17" s="3" t="str">
        <x:v>Austin</x:v>
      </x:c>
      <x:c r="E17" s="3" t="n">
        <x:v>9</x:v>
      </x:c>
      <x:c r="F17" s="8" t="n">
        <x:v>42750</x:v>
      </x:c>
      <x:c r="G17" s="3" t="str">
        <x:v>PLA (TX; fictional)</x:v>
      </x:c>
      <x:c r="H17" s="3" t="str">
        <x:v>Hospitality; Planting Design; Visualization</x:v>
      </x:c>
      <x:c r="I17" s="3" t="str">
        <x:v>On file</x:v>
      </x:c>
      <x:c r="J17" s="3" t="n">
        <x:v>40</x:v>
      </x:c>
      <x:c r="K17" s="10" t="n">
        <x:v>170</x:v>
      </x:c>
    </x:row>
    <x:row r="18" ht="57" customHeight="1">
      <x:c r="A18" s="6" t="str">
        <x:v>FW-E017</x:v>
      </x:c>
      <x:c r="B18" s="6" t="str">
        <x:v>Charlotte Hayes</x:v>
      </x:c>
      <x:c r="C18" s="6" t="str">
        <x:v>Project Manager</x:v>
      </x:c>
      <x:c r="D18" s="6" t="str">
        <x:v>Austin</x:v>
      </x:c>
      <x:c r="E18" s="6" t="n">
        <x:v>10</x:v>
      </x:c>
      <x:c r="F18" s="7" t="n">
        <x:v>42384</x:v>
      </x:c>
      <x:c r="G18" s="6" t="str">
        <x:v>PLA (TX; fictional)</x:v>
      </x:c>
      <x:c r="H18" s="6" t="str">
        <x:v>Public Realm; Planting Design; Construction Documentation</x:v>
      </x:c>
      <x:c r="I18" s="6" t="str">
        <x:v>On file</x:v>
      </x:c>
      <x:c r="J18" s="6" t="n">
        <x:v>40</x:v>
      </x:c>
      <x:c r="K18" s="9" t="n">
        <x:v>170</x:v>
      </x:c>
    </x:row>
    <x:row r="19" ht="57" customHeight="1">
      <x:c r="A19" s="3" t="str">
        <x:v>FW-E018</x:v>
      </x:c>
      <x:c r="B19" s="3" t="str">
        <x:v>Owen Price</x:v>
      </x:c>
      <x:c r="C19" s="3" t="str">
        <x:v>Project Manager</x:v>
      </x:c>
      <x:c r="D19" s="3" t="str">
        <x:v>Austin</x:v>
      </x:c>
      <x:c r="E19" s="3" t="n">
        <x:v>11</x:v>
      </x:c>
      <x:c r="F19" s="8" t="n">
        <x:v>42019</x:v>
      </x:c>
      <x:c r="G19" s="3" t="str">
        <x:v>PLA (TX; fictional)</x:v>
      </x:c>
      <x:c r="H19" s="3" t="str">
        <x:v>Higher Education; Campus Planning; Community Engagement</x:v>
      </x:c>
      <x:c r="I19" s="3" t="str">
        <x:v>On file</x:v>
      </x:c>
      <x:c r="J19" s="3" t="n">
        <x:v>40</x:v>
      </x:c>
      <x:c r="K19" s="10" t="n">
        <x:v>170</x:v>
      </x:c>
    </x:row>
    <x:row r="20" ht="57" customHeight="1">
      <x:c r="A20" s="6" t="str">
        <x:v>FW-E019</x:v>
      </x:c>
      <x:c r="B20" s="6" t="str">
        <x:v>Grace Park</x:v>
      </x:c>
      <x:c r="C20" s="6" t="str">
        <x:v>Senior Designer</x:v>
      </x:c>
      <x:c r="D20" s="6" t="str">
        <x:v>Austin</x:v>
      </x:c>
      <x:c r="E20" s="6" t="n">
        <x:v>7</x:v>
      </x:c>
      <x:c r="F20" s="7" t="n">
        <x:v>43480</x:v>
      </x:c>
      <x:c r="G20" s="6" t="str">
        <x:v>Not registered</x:v>
      </x:c>
      <x:c r="H20" s="6" t="str">
        <x:v>Mixed Use; Urban Design; Construction Administration</x:v>
      </x:c>
      <x:c r="I20" s="6" t="str">
        <x:v>On file</x:v>
      </x:c>
      <x:c r="J20" s="6" t="n">
        <x:v>40</x:v>
      </x:c>
      <x:c r="K20" s="9" t="n">
        <x:v>145</x:v>
      </x:c>
    </x:row>
    <x:row r="21" ht="57" customHeight="1">
      <x:c r="A21" s="3" t="str">
        <x:v>FW-E020</x:v>
      </x:c>
      <x:c r="B21" s="3" t="str">
        <x:v>Leo Morgan</x:v>
      </x:c>
      <x:c r="C21" s="3" t="str">
        <x:v>Senior Designer</x:v>
      </x:c>
      <x:c r="D21" s="3" t="str">
        <x:v>Austin</x:v>
      </x:c>
      <x:c r="E21" s="3" t="n">
        <x:v>8</x:v>
      </x:c>
      <x:c r="F21" s="8" t="n">
        <x:v>43115</x:v>
      </x:c>
      <x:c r="G21" s="3" t="str">
        <x:v>Not registered</x:v>
      </x:c>
      <x:c r="H21" s="3" t="str">
        <x:v>Hospitality; Planting Design; Visualization</x:v>
      </x:c>
      <x:c r="I21" s="3" t="str">
        <x:v>On file</x:v>
      </x:c>
      <x:c r="J21" s="3" t="n">
        <x:v>40</x:v>
      </x:c>
      <x:c r="K21" s="10" t="n">
        <x:v>145</x:v>
      </x:c>
    </x:row>
    <x:row r="22" ht="57" customHeight="1">
      <x:c r="A22" s="6" t="str">
        <x:v>FW-E021</x:v>
      </x:c>
      <x:c r="B22" s="6" t="str">
        <x:v>Zoe Mitchell</x:v>
      </x:c>
      <x:c r="C22" s="6" t="str">
        <x:v>Senior Designer</x:v>
      </x:c>
      <x:c r="D22" s="6" t="str">
        <x:v>Austin</x:v>
      </x:c>
      <x:c r="E22" s="6" t="n">
        <x:v>7</x:v>
      </x:c>
      <x:c r="F22" s="7" t="n">
        <x:v>43480</x:v>
      </x:c>
      <x:c r="G22" s="6" t="str">
        <x:v>Not registered</x:v>
      </x:c>
      <x:c r="H22" s="6" t="str">
        <x:v>Public Realm; Planting Design; Construction Documentation</x:v>
      </x:c>
      <x:c r="I22" s="6" t="str">
        <x:v>On file</x:v>
      </x:c>
      <x:c r="J22" s="6" t="n">
        <x:v>40</x:v>
      </x:c>
      <x:c r="K22" s="9" t="n">
        <x:v>145</x:v>
      </x:c>
    </x:row>
    <x:row r="23" ht="57" customHeight="1">
      <x:c r="A23" s="3" t="str">
        <x:v>FW-E022</x:v>
      </x:c>
      <x:c r="B23" s="3" t="str">
        <x:v>Adrian Flores</x:v>
      </x:c>
      <x:c r="C23" s="3" t="str">
        <x:v>Senior Designer</x:v>
      </x:c>
      <x:c r="D23" s="3" t="str">
        <x:v>Austin</x:v>
      </x:c>
      <x:c r="E23" s="3" t="n">
        <x:v>8</x:v>
      </x:c>
      <x:c r="F23" s="8" t="n">
        <x:v>43115</x:v>
      </x:c>
      <x:c r="G23" s="3" t="str">
        <x:v>Not registered</x:v>
      </x:c>
      <x:c r="H23" s="3" t="str">
        <x:v>Higher Education; Campus Planning; Community Engagement</x:v>
      </x:c>
      <x:c r="I23" s="3" t="str">
        <x:v>On file</x:v>
      </x:c>
      <x:c r="J23" s="3" t="n">
        <x:v>40</x:v>
      </x:c>
      <x:c r="K23" s="10" t="n">
        <x:v>145</x:v>
      </x:c>
    </x:row>
    <x:row r="24" ht="57" customHeight="1">
      <x:c r="A24" s="6" t="str">
        <x:v>FW-E023</x:v>
      </x:c>
      <x:c r="B24" s="6" t="str">
        <x:v>Lily Turner</x:v>
      </x:c>
      <x:c r="C24" s="6" t="str">
        <x:v>Senior Designer</x:v>
      </x:c>
      <x:c r="D24" s="6" t="str">
        <x:v>Austin</x:v>
      </x:c>
      <x:c r="E24" s="6" t="n">
        <x:v>7</x:v>
      </x:c>
      <x:c r="F24" s="7" t="n">
        <x:v>43480</x:v>
      </x:c>
      <x:c r="G24" s="6" t="str">
        <x:v>Not registered</x:v>
      </x:c>
      <x:c r="H24" s="6" t="str">
        <x:v>Mixed Use; Urban Design; Construction Administration</x:v>
      </x:c>
      <x:c r="I24" s="6" t="str">
        <x:v>On file</x:v>
      </x:c>
      <x:c r="J24" s="6" t="n">
        <x:v>40</x:v>
      </x:c>
      <x:c r="K24" s="9" t="n">
        <x:v>145</x:v>
      </x:c>
    </x:row>
    <x:row r="25" ht="57" customHeight="1">
      <x:c r="A25" s="3" t="str">
        <x:v>FW-E024</x:v>
      </x:c>
      <x:c r="B25" s="3" t="str">
        <x:v>Gabriel Ross</x:v>
      </x:c>
      <x:c r="C25" s="3" t="str">
        <x:v>Senior Designer</x:v>
      </x:c>
      <x:c r="D25" s="3" t="str">
        <x:v>Austin</x:v>
      </x:c>
      <x:c r="E25" s="3" t="n">
        <x:v>8</x:v>
      </x:c>
      <x:c r="F25" s="8" t="n">
        <x:v>43115</x:v>
      </x:c>
      <x:c r="G25" s="3" t="str">
        <x:v>Not registered</x:v>
      </x:c>
      <x:c r="H25" s="3" t="str">
        <x:v>Hospitality; Planting Design; Visualization</x:v>
      </x:c>
      <x:c r="I25" s="3" t="str">
        <x:v>On file</x:v>
      </x:c>
      <x:c r="J25" s="3" t="n">
        <x:v>40</x:v>
      </x:c>
      <x:c r="K25" s="10" t="n">
        <x:v>145</x:v>
      </x:c>
    </x:row>
    <x:row r="26" ht="57" customHeight="1">
      <x:c r="A26" s="6" t="str">
        <x:v>FW-E025</x:v>
      </x:c>
      <x:c r="B26" s="6" t="str">
        <x:v>Nora Wallace</x:v>
      </x:c>
      <x:c r="C26" s="6" t="str">
        <x:v>Senior Designer</x:v>
      </x:c>
      <x:c r="D26" s="6" t="str">
        <x:v>Austin</x:v>
      </x:c>
      <x:c r="E26" s="6" t="n">
        <x:v>7</x:v>
      </x:c>
      <x:c r="F26" s="7" t="n">
        <x:v>43480</x:v>
      </x:c>
      <x:c r="G26" s="6" t="str">
        <x:v>Not registered</x:v>
      </x:c>
      <x:c r="H26" s="6" t="str">
        <x:v>Public Realm; Planting Design; Construction Documentation</x:v>
      </x:c>
      <x:c r="I26" s="6" t="str">
        <x:v>On file</x:v>
      </x:c>
      <x:c r="J26" s="6" t="n">
        <x:v>40</x:v>
      </x:c>
      <x:c r="K26" s="9" t="n">
        <x:v>145</x:v>
      </x:c>
    </x:row>
    <x:row r="27" ht="57" customHeight="1">
      <x:c r="A27" s="3" t="str">
        <x:v>FW-E026</x:v>
      </x:c>
      <x:c r="B27" s="3" t="str">
        <x:v>Caleb Hughes</x:v>
      </x:c>
      <x:c r="C27" s="3" t="str">
        <x:v>Landscape Designer</x:v>
      </x:c>
      <x:c r="D27" s="3" t="str">
        <x:v>Austin</x:v>
      </x:c>
      <x:c r="E27" s="3" t="n">
        <x:v>4</x:v>
      </x:c>
      <x:c r="F27" s="8" t="n">
        <x:v>44576</x:v>
      </x:c>
      <x:c r="G27" s="3" t="str">
        <x:v>Not registered</x:v>
      </x:c>
      <x:c r="H27" s="3" t="str">
        <x:v>Higher Education; Campus Planning; Community Engagement</x:v>
      </x:c>
      <x:c r="I27" s="3" t="str">
        <x:v>On file</x:v>
      </x:c>
      <x:c r="J27" s="3" t="n">
        <x:v>40</x:v>
      </x:c>
      <x:c r="K27" s="10" t="n">
        <x:v>115</x:v>
      </x:c>
    </x:row>
    <x:row r="28" ht="57" customHeight="1">
      <x:c r="A28" s="6" t="str">
        <x:v>FW-E027</x:v>
      </x:c>
      <x:c r="B28" s="6" t="str">
        <x:v>Stella Cruz</x:v>
      </x:c>
      <x:c r="C28" s="6" t="str">
        <x:v>Landscape Designer</x:v>
      </x:c>
      <x:c r="D28" s="6" t="str">
        <x:v>Austin</x:v>
      </x:c>
      <x:c r="E28" s="6" t="n">
        <x:v>5</x:v>
      </x:c>
      <x:c r="F28" s="7" t="n">
        <x:v>44211</x:v>
      </x:c>
      <x:c r="G28" s="6" t="str">
        <x:v>Not registered</x:v>
      </x:c>
      <x:c r="H28" s="6" t="str">
        <x:v>Mixed Use; Urban Design; Construction Administration</x:v>
      </x:c>
      <x:c r="I28" s="6" t="str">
        <x:v>On file</x:v>
      </x:c>
      <x:c r="J28" s="6" t="n">
        <x:v>40</x:v>
      </x:c>
      <x:c r="K28" s="9" t="n">
        <x:v>115</x:v>
      </x:c>
    </x:row>
    <x:row r="29" ht="57" customHeight="1">
      <x:c r="A29" s="3" t="str">
        <x:v>FW-E028</x:v>
      </x:c>
      <x:c r="B29" s="3" t="str">
        <x:v>Isaac Bell</x:v>
      </x:c>
      <x:c r="C29" s="3" t="str">
        <x:v>Landscape Designer</x:v>
      </x:c>
      <x:c r="D29" s="3" t="str">
        <x:v>Austin</x:v>
      </x:c>
      <x:c r="E29" s="3" t="n">
        <x:v>6</x:v>
      </x:c>
      <x:c r="F29" s="8" t="n">
        <x:v>43845</x:v>
      </x:c>
      <x:c r="G29" s="3" t="str">
        <x:v>Not registered</x:v>
      </x:c>
      <x:c r="H29" s="3" t="str">
        <x:v>Hospitality; Planting Design; Visualization</x:v>
      </x:c>
      <x:c r="I29" s="3" t="str">
        <x:v>On file</x:v>
      </x:c>
      <x:c r="J29" s="3" t="n">
        <x:v>40</x:v>
      </x:c>
      <x:c r="K29" s="10" t="n">
        <x:v>115</x:v>
      </x:c>
    </x:row>
    <x:row r="30" ht="57" customHeight="1">
      <x:c r="A30" s="6" t="str">
        <x:v>FW-E029</x:v>
      </x:c>
      <x:c r="B30" s="6" t="str">
        <x:v>Leah Watson</x:v>
      </x:c>
      <x:c r="C30" s="6" t="str">
        <x:v>Landscape Designer</x:v>
      </x:c>
      <x:c r="D30" s="6" t="str">
        <x:v>Austin</x:v>
      </x:c>
      <x:c r="E30" s="6" t="n">
        <x:v>3</x:v>
      </x:c>
      <x:c r="F30" s="7" t="n">
        <x:v>44941</x:v>
      </x:c>
      <x:c r="G30" s="6" t="str">
        <x:v>Not registered</x:v>
      </x:c>
      <x:c r="H30" s="6" t="str">
        <x:v>Public Realm; Planting Design; Construction Documentation</x:v>
      </x:c>
      <x:c r="I30" s="6" t="str">
        <x:v>On file</x:v>
      </x:c>
      <x:c r="J30" s="6" t="n">
        <x:v>40</x:v>
      </x:c>
      <x:c r="K30" s="9" t="n">
        <x:v>115</x:v>
      </x:c>
    </x:row>
    <x:row r="31" ht="57" customHeight="1">
      <x:c r="A31" s="3" t="str">
        <x:v>FW-E030</x:v>
      </x:c>
      <x:c r="B31" s="3" t="str">
        <x:v>Julian Rivera</x:v>
      </x:c>
      <x:c r="C31" s="3" t="str">
        <x:v>Landscape Designer</x:v>
      </x:c>
      <x:c r="D31" s="3" t="str">
        <x:v>Austin</x:v>
      </x:c>
      <x:c r="E31" s="3" t="n">
        <x:v>4</x:v>
      </x:c>
      <x:c r="F31" s="8" t="n">
        <x:v>44576</x:v>
      </x:c>
      <x:c r="G31" s="3" t="str">
        <x:v>Not registered</x:v>
      </x:c>
      <x:c r="H31" s="3" t="str">
        <x:v>Higher Education; Campus Planning; Community Engagement</x:v>
      </x:c>
      <x:c r="I31" s="3" t="str">
        <x:v>On file</x:v>
      </x:c>
      <x:c r="J31" s="3" t="n">
        <x:v>40</x:v>
      </x:c>
      <x:c r="K31" s="10" t="n">
        <x:v>115</x:v>
      </x:c>
    </x:row>
    <x:row r="32" ht="57" customHeight="1">
      <x:c r="A32" s="6" t="str">
        <x:v>FW-E031</x:v>
      </x:c>
      <x:c r="B32" s="6" t="str">
        <x:v>Audrey Scott</x:v>
      </x:c>
      <x:c r="C32" s="6" t="str">
        <x:v>Landscape Designer</x:v>
      </x:c>
      <x:c r="D32" s="6" t="str">
        <x:v>Dallas</x:v>
      </x:c>
      <x:c r="E32" s="6" t="n">
        <x:v>5</x:v>
      </x:c>
      <x:c r="F32" s="7" t="n">
        <x:v>44211</x:v>
      </x:c>
      <x:c r="G32" s="6" t="str">
        <x:v>Not registered</x:v>
      </x:c>
      <x:c r="H32" s="6" t="str">
        <x:v>Mixed Use; Urban Design; Construction Administration</x:v>
      </x:c>
      <x:c r="I32" s="6" t="str">
        <x:v>On file</x:v>
      </x:c>
      <x:c r="J32" s="6" t="n">
        <x:v>40</x:v>
      </x:c>
      <x:c r="K32" s="9" t="n">
        <x:v>115</x:v>
      </x:c>
    </x:row>
    <x:row r="33" ht="57" customHeight="1">
      <x:c r="A33" s="3" t="str">
        <x:v>FW-E032</x:v>
      </x:c>
      <x:c r="B33" s="3" t="str">
        <x:v>Miles Mercer</x:v>
      </x:c>
      <x:c r="C33" s="3" t="str">
        <x:v>Landscape Designer</x:v>
      </x:c>
      <x:c r="D33" s="3" t="str">
        <x:v>Dallas</x:v>
      </x:c>
      <x:c r="E33" s="3" t="n">
        <x:v>6</x:v>
      </x:c>
      <x:c r="F33" s="8" t="n">
        <x:v>43845</x:v>
      </x:c>
      <x:c r="G33" s="3" t="str">
        <x:v>Not registered</x:v>
      </x:c>
      <x:c r="H33" s="3" t="str">
        <x:v>Hospitality; Planting Design; Visualization</x:v>
      </x:c>
      <x:c r="I33" s="3" t="str">
        <x:v>On file</x:v>
      </x:c>
      <x:c r="J33" s="3" t="n">
        <x:v>40</x:v>
      </x:c>
      <x:c r="K33" s="10" t="n">
        <x:v>115</x:v>
      </x:c>
    </x:row>
    <x:row r="34" ht="57" customHeight="1">
      <x:c r="A34" s="6" t="str">
        <x:v>FW-E033</x:v>
      </x:c>
      <x:c r="B34" s="6" t="str">
        <x:v>Claire Evans</x:v>
      </x:c>
      <x:c r="C34" s="6" t="str">
        <x:v>Landscape Designer</x:v>
      </x:c>
      <x:c r="D34" s="6" t="str">
        <x:v>Dallas</x:v>
      </x:c>
      <x:c r="E34" s="6" t="n">
        <x:v>3</x:v>
      </x:c>
      <x:c r="F34" s="7" t="n">
        <x:v>44941</x:v>
      </x:c>
      <x:c r="G34" s="6" t="str">
        <x:v>Not registered</x:v>
      </x:c>
      <x:c r="H34" s="6" t="str">
        <x:v>Public Realm; Planting Design; Construction Documentation</x:v>
      </x:c>
      <x:c r="I34" s="6" t="str">
        <x:v>On file</x:v>
      </x:c>
      <x:c r="J34" s="6" t="n">
        <x:v>40</x:v>
      </x:c>
      <x:c r="K34" s="9" t="n">
        <x:v>115</x:v>
      </x:c>
    </x:row>
    <x:row r="35" ht="57" customHeight="1">
      <x:c r="A35" s="3" t="str">
        <x:v>FW-E034</x:v>
      </x:c>
      <x:c r="B35" s="3" t="str">
        <x:v>Sebastian Ward</x:v>
      </x:c>
      <x:c r="C35" s="3" t="str">
        <x:v>Landscape Designer</x:v>
      </x:c>
      <x:c r="D35" s="3" t="str">
        <x:v>Dallas</x:v>
      </x:c>
      <x:c r="E35" s="3" t="n">
        <x:v>4</x:v>
      </x:c>
      <x:c r="F35" s="8" t="n">
        <x:v>44576</x:v>
      </x:c>
      <x:c r="G35" s="3" t="str">
        <x:v>Not registered</x:v>
      </x:c>
      <x:c r="H35" s="3" t="str">
        <x:v>Higher Education; Campus Planning; Community Engagement</x:v>
      </x:c>
      <x:c r="I35" s="3" t="str">
        <x:v>On file</x:v>
      </x:c>
      <x:c r="J35" s="3" t="n">
        <x:v>40</x:v>
      </x:c>
      <x:c r="K35" s="10" t="n">
        <x:v>115</x:v>
      </x:c>
    </x:row>
    <x:row r="36" ht="57" customHeight="1">
      <x:c r="A36" s="6" t="str">
        <x:v>FW-E035</x:v>
      </x:c>
      <x:c r="B36" s="6" t="str">
        <x:v>Alice Whitcomb</x:v>
      </x:c>
      <x:c r="C36" s="6" t="str">
        <x:v>Landscape Designer</x:v>
      </x:c>
      <x:c r="D36" s="6" t="str">
        <x:v>Dallas</x:v>
      </x:c>
      <x:c r="E36" s="6" t="n">
        <x:v>5</x:v>
      </x:c>
      <x:c r="F36" s="7" t="n">
        <x:v>44211</x:v>
      </x:c>
      <x:c r="G36" s="6" t="str">
        <x:v>Not registered</x:v>
      </x:c>
      <x:c r="H36" s="6" t="str">
        <x:v>Mixed Use; Urban Design; Construction Administration</x:v>
      </x:c>
      <x:c r="I36" s="6" t="str">
        <x:v>On file</x:v>
      </x:c>
      <x:c r="J36" s="6" t="n">
        <x:v>40</x:v>
      </x:c>
      <x:c r="K36" s="9" t="n">
        <x:v>115</x:v>
      </x:c>
    </x:row>
    <x:row r="37" ht="57" customHeight="1">
      <x:c r="A37" s="3" t="str">
        <x:v>FW-E036</x:v>
      </x:c>
      <x:c r="B37" s="3" t="str">
        <x:v>Felix Howard</x:v>
      </x:c>
      <x:c r="C37" s="3" t="str">
        <x:v>Landscape Designer</x:v>
      </x:c>
      <x:c r="D37" s="3" t="str">
        <x:v>Dallas</x:v>
      </x:c>
      <x:c r="E37" s="3" t="n">
        <x:v>6</x:v>
      </x:c>
      <x:c r="F37" s="8" t="n">
        <x:v>43845</x:v>
      </x:c>
      <x:c r="G37" s="3" t="str">
        <x:v>Not registered</x:v>
      </x:c>
      <x:c r="H37" s="3" t="str">
        <x:v>Hospitality; Planting Design; Visualization</x:v>
      </x:c>
      <x:c r="I37" s="3" t="str">
        <x:v>On file</x:v>
      </x:c>
      <x:c r="J37" s="3" t="n">
        <x:v>40</x:v>
      </x:c>
      <x:c r="K37" s="10" t="n">
        <x:v>115</x:v>
      </x:c>
    </x:row>
    <x:row r="38" ht="57" customHeight="1">
      <x:c r="A38" s="6" t="str">
        <x:v>FW-E037</x:v>
      </x:c>
      <x:c r="B38" s="6" t="str">
        <x:v>Violet Russell</x:v>
      </x:c>
      <x:c r="C38" s="6" t="str">
        <x:v>Landscape Designer</x:v>
      </x:c>
      <x:c r="D38" s="6" t="str">
        <x:v>Dallas</x:v>
      </x:c>
      <x:c r="E38" s="6" t="n">
        <x:v>3</x:v>
      </x:c>
      <x:c r="F38" s="7" t="n">
        <x:v>44941</x:v>
      </x:c>
      <x:c r="G38" s="6" t="str">
        <x:v>Not registered</x:v>
      </x:c>
      <x:c r="H38" s="6" t="str">
        <x:v>Public Realm; Planting Design; Construction Documentation</x:v>
      </x:c>
      <x:c r="I38" s="6" t="str">
        <x:v>On file</x:v>
      </x:c>
      <x:c r="J38" s="6" t="n">
        <x:v>40</x:v>
      </x:c>
      <x:c r="K38" s="9" t="n">
        <x:v>115</x:v>
      </x:c>
    </x:row>
    <x:row r="39" ht="57" customHeight="1">
      <x:c r="A39" s="3" t="str">
        <x:v>FW-E038</x:v>
      </x:c>
      <x:c r="B39" s="3" t="str">
        <x:v>Simon Gray</x:v>
      </x:c>
      <x:c r="C39" s="3" t="str">
        <x:v>Landscape Designer</x:v>
      </x:c>
      <x:c r="D39" s="3" t="str">
        <x:v>Dallas</x:v>
      </x:c>
      <x:c r="E39" s="3" t="n">
        <x:v>4</x:v>
      </x:c>
      <x:c r="F39" s="8" t="n">
        <x:v>44576</x:v>
      </x:c>
      <x:c r="G39" s="3" t="str">
        <x:v>Not registered</x:v>
      </x:c>
      <x:c r="H39" s="3" t="str">
        <x:v>Higher Education; Campus Planning; Community Engagement</x:v>
      </x:c>
      <x:c r="I39" s="3" t="str">
        <x:v>On file</x:v>
      </x:c>
      <x:c r="J39" s="3" t="n">
        <x:v>40</x:v>
      </x:c>
      <x:c r="K39" s="10" t="n">
        <x:v>115</x:v>
      </x:c>
    </x:row>
    <x:row r="40" ht="57" customHeight="1">
      <x:c r="A40" s="6" t="str">
        <x:v>FW-E039</x:v>
      </x:c>
      <x:c r="B40" s="6" t="str">
        <x:v>Natalie Weller</x:v>
      </x:c>
      <x:c r="C40" s="6" t="str">
        <x:v>Landscape Designer</x:v>
      </x:c>
      <x:c r="D40" s="6" t="str">
        <x:v>Dallas</x:v>
      </x:c>
      <x:c r="E40" s="6" t="n">
        <x:v>5</x:v>
      </x:c>
      <x:c r="F40" s="7" t="n">
        <x:v>44211</x:v>
      </x:c>
      <x:c r="G40" s="6" t="str">
        <x:v>Not registered</x:v>
      </x:c>
      <x:c r="H40" s="6" t="str">
        <x:v>Mixed Use; Urban Design; Construction Administration</x:v>
      </x:c>
      <x:c r="I40" s="6" t="str">
        <x:v>On file</x:v>
      </x:c>
      <x:c r="J40" s="6" t="n">
        <x:v>40</x:v>
      </x:c>
      <x:c r="K40" s="9" t="n">
        <x:v>115</x:v>
      </x:c>
    </x:row>
    <x:row r="41" ht="57" customHeight="1">
      <x:c r="A41" s="3" t="str">
        <x:v>FW-E040</x:v>
      </x:c>
      <x:c r="B41" s="3" t="str">
        <x:v>Aaron Blake</x:v>
      </x:c>
      <x:c r="C41" s="3" t="str">
        <x:v>Landscape Designer</x:v>
      </x:c>
      <x:c r="D41" s="3" t="str">
        <x:v>Dallas</x:v>
      </x:c>
      <x:c r="E41" s="3" t="n">
        <x:v>6</x:v>
      </x:c>
      <x:c r="F41" s="8" t="n">
        <x:v>43845</x:v>
      </x:c>
      <x:c r="G41" s="3" t="str">
        <x:v>Not registered</x:v>
      </x:c>
      <x:c r="H41" s="3" t="str">
        <x:v>Hospitality; Planting Design; Visualization</x:v>
      </x:c>
      <x:c r="I41" s="3" t="str">
        <x:v>On file</x:v>
      </x:c>
      <x:c r="J41" s="3" t="n">
        <x:v>40</x:v>
      </x:c>
      <x:c r="K41" s="10" t="n">
        <x:v>115</x:v>
      </x:c>
    </x:row>
    <x:row r="42" ht="57" customHeight="1">
      <x:c r="A42" s="6" t="str">
        <x:v>FW-E041</x:v>
      </x:c>
      <x:c r="B42" s="6" t="str">
        <x:v>Julia Santos</x:v>
      </x:c>
      <x:c r="C42" s="6" t="str">
        <x:v>Landscape Designer</x:v>
      </x:c>
      <x:c r="D42" s="6" t="str">
        <x:v>Dallas</x:v>
      </x:c>
      <x:c r="E42" s="6" t="n">
        <x:v>3</x:v>
      </x:c>
      <x:c r="F42" s="7" t="n">
        <x:v>44941</x:v>
      </x:c>
      <x:c r="G42" s="6" t="str">
        <x:v>Not registered</x:v>
      </x:c>
      <x:c r="H42" s="6" t="str">
        <x:v>Public Realm; Planting Design; Construction Documentation</x:v>
      </x:c>
      <x:c r="I42" s="6" t="str">
        <x:v>On file</x:v>
      </x:c>
      <x:c r="J42" s="6" t="n">
        <x:v>40</x:v>
      </x:c>
      <x:c r="K42" s="9" t="n">
        <x:v>115</x:v>
      </x:c>
    </x:row>
    <x:row r="43" ht="57" customHeight="1">
      <x:c r="A43" s="3" t="str">
        <x:v>FW-E042</x:v>
      </x:c>
      <x:c r="B43" s="3" t="str">
        <x:v>Diana Moore</x:v>
      </x:c>
      <x:c r="C43" s="3" t="str">
        <x:v>Operations Director</x:v>
      </x:c>
      <x:c r="D43" s="3" t="str">
        <x:v>Dallas</x:v>
      </x:c>
      <x:c r="E43" s="3" t="n">
        <x:v>8</x:v>
      </x:c>
      <x:c r="F43" s="8" t="n">
        <x:v>43115</x:v>
      </x:c>
      <x:c r="G43" s="3" t="str">
        <x:v>Not registered</x:v>
      </x:c>
      <x:c r="H43" s="3" t="str">
        <x:v>Practice Operations</x:v>
      </x:c>
      <x:c r="I43" s="3" t="str">
        <x:v>On file</x:v>
      </x:c>
      <x:c r="J43" s="3" t="n">
        <x:v>40</x:v>
      </x:c>
      <x:c r="K43" s="10"/>
    </x:row>
    <x:row r="44" ht="57" customHeight="1">
      <x:c r="A44" s="6" t="str">
        <x:v>FW-E043</x:v>
      </x:c>
      <x:c r="B44" s="6" t="str">
        <x:v>Victor Lane</x:v>
      </x:c>
      <x:c r="C44" s="6" t="str">
        <x:v>Marketing Manager</x:v>
      </x:c>
      <x:c r="D44" s="6" t="str">
        <x:v>Dallas</x:v>
      </x:c>
      <x:c r="E44" s="6" t="n">
        <x:v>9</x:v>
      </x:c>
      <x:c r="F44" s="7" t="n">
        <x:v>42750</x:v>
      </x:c>
      <x:c r="G44" s="6" t="str">
        <x:v>Not registered</x:v>
      </x:c>
      <x:c r="H44" s="6" t="str">
        <x:v>Qualifications; Proposal Production</x:v>
      </x:c>
      <x:c r="I44" s="6" t="str">
        <x:v>On file</x:v>
      </x:c>
      <x:c r="J44" s="6" t="n">
        <x:v>40</x:v>
      </x:c>
      <x:c r="K44" s="9"/>
    </x:row>
    <x:row r="45" ht="57" customHeight="1">
      <x:c r="A45" s="3" t="str">
        <x:v>FW-E044</x:v>
      </x:c>
      <x:c r="B45" s="3" t="str">
        <x:v>Rachel Stone</x:v>
      </x:c>
      <x:c r="C45" s="3" t="str">
        <x:v>Finance Manager</x:v>
      </x:c>
      <x:c r="D45" s="3" t="str">
        <x:v>Dallas</x:v>
      </x:c>
      <x:c r="E45" s="3" t="n">
        <x:v>10</x:v>
      </x:c>
      <x:c r="F45" s="8" t="n">
        <x:v>42384</x:v>
      </x:c>
      <x:c r="G45" s="3" t="str">
        <x:v>Not registered</x:v>
      </x:c>
      <x:c r="H45" s="3" t="str">
        <x:v>Billing; Project Reporting</x:v>
      </x:c>
      <x:c r="I45" s="3" t="str">
        <x:v>On file</x:v>
      </x:c>
      <x:c r="J45" s="3" t="n">
        <x:v>40</x:v>
      </x:c>
      <x:c r="K45" s="10"/>
    </x:row>
    <x:row r="46" ht="57" customHeight="1">
      <x:c r="A46" s="6" t="str">
        <x:v>FW-E045</x:v>
      </x:c>
      <x:c r="B46" s="6" t="str">
        <x:v>Emma Lin</x:v>
      </x:c>
      <x:c r="C46" s="6" t="str">
        <x:v>Studio Coordinator</x:v>
      </x:c>
      <x:c r="D46" s="6" t="str">
        <x:v>Dallas</x:v>
      </x:c>
      <x:c r="E46" s="6" t="n">
        <x:v>11</x:v>
      </x:c>
      <x:c r="F46" s="7" t="n">
        <x:v>42019</x:v>
      </x:c>
      <x:c r="G46" s="6" t="str">
        <x:v>Not registered</x:v>
      </x:c>
      <x:c r="H46" s="6" t="str">
        <x:v>Studio Administration</x:v>
      </x:c>
      <x:c r="I46" s="6" t="str">
        <x:v>Missing</x:v>
      </x:c>
      <x:c r="J46" s="6" t="n">
        <x:v>40</x:v>
      </x:c>
      <x:c r="K46" s="9"/>
    </x:row>
    <x:row r="47" ht="57" customHeight="1">
      <x:c r="A47" s="3" t="str">
        <x:v>FW-E046</x:v>
      </x:c>
      <x:c r="B47" s="3" t="str">
        <x:v>Oliver Grant</x:v>
      </x:c>
      <x:c r="C47" s="3" t="str">
        <x:v>IT Coordinator</x:v>
      </x:c>
      <x:c r="D47" s="3" t="str">
        <x:v>Dallas</x:v>
      </x:c>
      <x:c r="E47" s="3" t="n">
        <x:v>7</x:v>
      </x:c>
      <x:c r="F47" s="8" t="n">
        <x:v>43480</x:v>
      </x:c>
      <x:c r="G47" s="3" t="str">
        <x:v>Not registered</x:v>
      </x:c>
      <x:c r="H47" s="3" t="str">
        <x:v>Information Systems</x:v>
      </x:c>
      <x:c r="I47" s="3" t="str">
        <x:v>Missing</x:v>
      </x:c>
      <x:c r="J47" s="3" t="n">
        <x:v>40</x:v>
      </x:c>
      <x:c r="K47" s="10"/>
    </x:row>
    <x:row r="48" ht="57" customHeight="1">
      <x:c r="A48" s="6" t="str">
        <x:v>FW-E047</x:v>
      </x:c>
      <x:c r="B48" s="6" t="str">
        <x:v>Chloe Banks</x:v>
      </x:c>
      <x:c r="C48" s="6" t="str">
        <x:v>People Coordinator</x:v>
      </x:c>
      <x:c r="D48" s="6" t="str">
        <x:v>Dallas</x:v>
      </x:c>
      <x:c r="E48" s="6" t="n">
        <x:v>8</x:v>
      </x:c>
      <x:c r="F48" s="7" t="n">
        <x:v>43115</x:v>
      </x:c>
      <x:c r="G48" s="6" t="str">
        <x:v>Not registered</x:v>
      </x:c>
      <x:c r="H48" s="6" t="str">
        <x:v>People Operations</x:v>
      </x:c>
      <x:c r="I48" s="6" t="str">
        <x:v>Missing</x:v>
      </x:c>
      <x:c r="J48" s="6" t="n">
        <x:v>40</x:v>
      </x:c>
      <x:c r="K48" s="9"/>
    </x:row>
  </x:sheetData>
  <x:pageMargins left="0.7" right="0.7" top="0.75" bottom="0.75" header="0.3" footer="0.3"/>
  <x:tableParts count="1">
    <x:tablePart xmlns:r="http://schemas.openxmlformats.org/officeDocument/2006/relationships" r:id="R7858cd02ab594c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19" hidden="0" customWidth="1"/>
  </x:cols>
  <x:sheetData>
    <x:row r="1" ht="34" customHeight="1">
      <x:c r="A1" s="5" t="str">
        <x:v>Employee ID</x:v>
      </x:c>
      <x:c r="B1" s="5" t="str">
        <x:v>Employee name</x:v>
      </x:c>
      <x:c r="C1" s="5" t="str">
        <x:v>Snapshot date</x:v>
      </x:c>
      <x:c r="D1" s="5" t="str">
        <x:v>Gross weekly hours</x:v>
      </x:c>
      <x:c r="E1" s="5" t="str">
        <x:v>Committed hours</x:v>
      </x:c>
      <x:c r="F1" s="5" t="str">
        <x:v>Available hours</x:v>
      </x:c>
      <x:c r="G1" s="5" t="str">
        <x:v>Allocation</x:v>
      </x:c>
    </x:row>
    <x:row r="2" ht="40" customHeight="1">
      <x:c r="A2" s="6" t="str">
        <x:v>FW-E001</x:v>
      </x:c>
      <x:c r="B2" s="6" t="str">
        <x:v>Elena Marquez</x:v>
      </x:c>
      <x:c r="C2" s="7" t="n">
        <x:v>46277</x:v>
      </x:c>
      <x:c r="D2" s="11" t="n">
        <x:v>40</x:v>
      </x:c>
      <x:c r="E2" s="11" t="n">
        <x:f>SUMIFS('Assignments'!$E$2:$E$353,'Assignments'!$A$2:$A$353,A2,'Assignments'!$B$2:$B$353,C2)</x:f>
        <x:v>31.2</x:v>
      </x:c>
      <x:c r="F2" s="11" t="n">
        <x:f>D2-E2</x:f>
        <x:v>8.8</x:v>
      </x:c>
      <x:c r="G2" s="13" t="n">
        <x:f>E2/D2</x:f>
        <x:v>0.78</x:v>
      </x:c>
    </x:row>
    <x:row r="3" ht="40" customHeight="1">
      <x:c r="A3" s="3" t="str">
        <x:v>FW-E001</x:v>
      </x:c>
      <x:c r="B3" s="3" t="str">
        <x:v>Elena Marquez</x:v>
      </x:c>
      <x:c r="C3" s="8" t="n">
        <x:v>46307</x:v>
      </x:c>
      <x:c r="D3" s="12" t="n">
        <x:v>40</x:v>
      </x:c>
      <x:c r="E3" s="12" t="n">
        <x:f>SUMIFS('Assignments'!$E$2:$E$353,'Assignments'!$A$2:$A$353,A3,'Assignments'!$B$2:$B$353,C3)</x:f>
        <x:v>28</x:v>
      </x:c>
      <x:c r="F3" s="12" t="n">
        <x:f>D3-E3</x:f>
        <x:v>12</x:v>
      </x:c>
      <x:c r="G3" s="14" t="n">
        <x:f>E3/D3</x:f>
        <x:v>0.7</x:v>
      </x:c>
    </x:row>
    <x:row r="4" ht="40" customHeight="1">
      <x:c r="A4" s="6" t="str">
        <x:v>FW-E001</x:v>
      </x:c>
      <x:c r="B4" s="6" t="str">
        <x:v>Elena Marquez</x:v>
      </x:c>
      <x:c r="C4" s="7" t="n">
        <x:v>46337</x:v>
      </x:c>
      <x:c r="D4" s="11" t="n">
        <x:v>40</x:v>
      </x:c>
      <x:c r="E4" s="11" t="n">
        <x:f>SUMIFS('Assignments'!$E$2:$E$353,'Assignments'!$A$2:$A$353,A4,'Assignments'!$B$2:$B$353,C4)</x:f>
        <x:v>24.4</x:v>
      </x:c>
      <x:c r="F4" s="11" t="n">
        <x:f>D4-E4</x:f>
        <x:v>15.600000000000001</x:v>
      </x:c>
      <x:c r="G4" s="13" t="n">
        <x:f>E4/D4</x:f>
        <x:v>0.61</x:v>
      </x:c>
    </x:row>
    <x:row r="5" ht="40" customHeight="1">
      <x:c r="A5" s="3" t="str">
        <x:v>FW-E001</x:v>
      </x:c>
      <x:c r="B5" s="3" t="str">
        <x:v>Elena Marquez</x:v>
      </x:c>
      <x:c r="C5" s="8" t="n">
        <x:v>46367</x:v>
      </x:c>
      <x:c r="D5" s="12" t="n">
        <x:v>40</x:v>
      </x:c>
      <x:c r="E5" s="12" t="n">
        <x:f>SUMIFS('Assignments'!$E$2:$E$353,'Assignments'!$A$2:$A$353,A5,'Assignments'!$B$2:$B$353,C5)</x:f>
        <x:v>22.4</x:v>
      </x:c>
      <x:c r="F5" s="12" t="n">
        <x:f>D5-E5</x:f>
        <x:v>17.6</x:v>
      </x:c>
      <x:c r="G5" s="14" t="n">
        <x:f>E5/D5</x:f>
        <x:v>0.5599999999999999</x:v>
      </x:c>
    </x:row>
    <x:row r="6" ht="40" customHeight="1">
      <x:c r="A6" s="6" t="str">
        <x:v>FW-E002</x:v>
      </x:c>
      <x:c r="B6" s="6" t="str">
        <x:v>Daniel Kim</x:v>
      </x:c>
      <x:c r="C6" s="7" t="n">
        <x:v>46277</x:v>
      </x:c>
      <x:c r="D6" s="11" t="n">
        <x:v>40</x:v>
      </x:c>
      <x:c r="E6" s="11" t="n">
        <x:f>SUMIFS('Assignments'!$E$2:$E$353,'Assignments'!$A$2:$A$353,A6,'Assignments'!$B$2:$B$353,C6)</x:f>
        <x:v>34.4</x:v>
      </x:c>
      <x:c r="F6" s="11" t="n">
        <x:f>D6-E6</x:f>
        <x:v>5.600000000000001</x:v>
      </x:c>
      <x:c r="G6" s="13" t="n">
        <x:f>E6/D6</x:f>
        <x:v>0.86</x:v>
      </x:c>
    </x:row>
    <x:row r="7" ht="40" customHeight="1">
      <x:c r="A7" s="3" t="str">
        <x:v>FW-E002</x:v>
      </x:c>
      <x:c r="B7" s="3" t="str">
        <x:v>Daniel Kim</x:v>
      </x:c>
      <x:c r="C7" s="8" t="n">
        <x:v>46307</x:v>
      </x:c>
      <x:c r="D7" s="12" t="n">
        <x:v>40</x:v>
      </x:c>
      <x:c r="E7" s="12" t="n">
        <x:f>SUMIFS('Assignments'!$E$2:$E$353,'Assignments'!$A$2:$A$353,A7,'Assignments'!$B$2:$B$353,C7)</x:f>
        <x:v>35.6</x:v>
      </x:c>
      <x:c r="F7" s="12" t="n">
        <x:f>D7-E7</x:f>
        <x:v>4.399999999999999</x:v>
      </x:c>
      <x:c r="G7" s="14" t="n">
        <x:f>E7/D7</x:f>
        <x:v>0.89</x:v>
      </x:c>
    </x:row>
    <x:row r="8" ht="40" customHeight="1">
      <x:c r="A8" s="6" t="str">
        <x:v>FW-E002</x:v>
      </x:c>
      <x:c r="B8" s="6" t="str">
        <x:v>Daniel Kim</x:v>
      </x:c>
      <x:c r="C8" s="7" t="n">
        <x:v>46337</x:v>
      </x:c>
      <x:c r="D8" s="11" t="n">
        <x:v>40</x:v>
      </x:c>
      <x:c r="E8" s="11" t="n">
        <x:f>SUMIFS('Assignments'!$E$2:$E$353,'Assignments'!$A$2:$A$353,A8,'Assignments'!$B$2:$B$353,C8)</x:f>
        <x:v>28.8</x:v>
      </x:c>
      <x:c r="F8" s="11" t="n">
        <x:f>D8-E8</x:f>
        <x:v>11.2</x:v>
      </x:c>
      <x:c r="G8" s="13" t="n">
        <x:f>E8/D8</x:f>
        <x:v>0.72</x:v>
      </x:c>
    </x:row>
    <x:row r="9" ht="40" customHeight="1">
      <x:c r="A9" s="3" t="str">
        <x:v>FW-E002</x:v>
      </x:c>
      <x:c r="B9" s="3" t="str">
        <x:v>Daniel Kim</x:v>
      </x:c>
      <x:c r="C9" s="8" t="n">
        <x:v>46367</x:v>
      </x:c>
      <x:c r="D9" s="12" t="n">
        <x:v>40</x:v>
      </x:c>
      <x:c r="E9" s="12" t="n">
        <x:f>SUMIFS('Assignments'!$E$2:$E$353,'Assignments'!$A$2:$A$353,A9,'Assignments'!$B$2:$B$353,C9)</x:f>
        <x:v>26.8</x:v>
      </x:c>
      <x:c r="F9" s="12" t="n">
        <x:f>D9-E9</x:f>
        <x:v>13.2</x:v>
      </x:c>
      <x:c r="G9" s="14" t="n">
        <x:f>E9/D9</x:f>
        <x:v>0.67</x:v>
      </x:c>
    </x:row>
    <x:row r="10" ht="40" customHeight="1">
      <x:c r="A10" s="6" t="str">
        <x:v>FW-E003</x:v>
      </x:c>
      <x:c r="B10" s="6" t="str">
        <x:v>Maya Thompson</x:v>
      </x:c>
      <x:c r="C10" s="7" t="n">
        <x:v>46277</x:v>
      </x:c>
      <x:c r="D10" s="11" t="n">
        <x:v>40</x:v>
      </x:c>
      <x:c r="E10" s="11" t="n">
        <x:f>SUMIFS('Assignments'!$E$2:$E$353,'Assignments'!$A$2:$A$353,A10,'Assignments'!$B$2:$B$353,C10)</x:f>
        <x:v>27.6</x:v>
      </x:c>
      <x:c r="F10" s="11" t="n">
        <x:f>D10-E10</x:f>
        <x:v>12.399999999999999</x:v>
      </x:c>
      <x:c r="G10" s="13" t="n">
        <x:f>E10/D10</x:f>
        <x:v>0.6900000000000001</x:v>
      </x:c>
    </x:row>
    <x:row r="11" ht="40" customHeight="1">
      <x:c r="A11" s="3" t="str">
        <x:v>FW-E003</x:v>
      </x:c>
      <x:c r="B11" s="3" t="str">
        <x:v>Maya Thompson</x:v>
      </x:c>
      <x:c r="C11" s="8" t="n">
        <x:v>46307</x:v>
      </x:c>
      <x:c r="D11" s="12" t="n">
        <x:v>40</x:v>
      </x:c>
      <x:c r="E11" s="12" t="n">
        <x:f>SUMIFS('Assignments'!$E$2:$E$353,'Assignments'!$A$2:$A$353,A11,'Assignments'!$B$2:$B$353,C11)</x:f>
        <x:v>28</x:v>
      </x:c>
      <x:c r="F11" s="12" t="n">
        <x:f>D11-E11</x:f>
        <x:v>12</x:v>
      </x:c>
      <x:c r="G11" s="14" t="n">
        <x:f>E11/D11</x:f>
        <x:v>0.7</x:v>
      </x:c>
    </x:row>
    <x:row r="12" ht="40" customHeight="1">
      <x:c r="A12" s="6" t="str">
        <x:v>FW-E003</x:v>
      </x:c>
      <x:c r="B12" s="6" t="str">
        <x:v>Maya Thompson</x:v>
      </x:c>
      <x:c r="C12" s="7" t="n">
        <x:v>46337</x:v>
      </x:c>
      <x:c r="D12" s="11" t="n">
        <x:v>40</x:v>
      </x:c>
      <x:c r="E12" s="11" t="n">
        <x:f>SUMIFS('Assignments'!$E$2:$E$353,'Assignments'!$A$2:$A$353,A12,'Assignments'!$B$2:$B$353,C12)</x:f>
        <x:v>23.2</x:v>
      </x:c>
      <x:c r="F12" s="11" t="n">
        <x:f>D12-E12</x:f>
        <x:v>16.8</x:v>
      </x:c>
      <x:c r="G12" s="13" t="n">
        <x:f>E12/D12</x:f>
        <x:v>0.58</x:v>
      </x:c>
    </x:row>
    <x:row r="13" ht="40" customHeight="1">
      <x:c r="A13" s="3" t="str">
        <x:v>FW-E003</x:v>
      </x:c>
      <x:c r="B13" s="3" t="str">
        <x:v>Maya Thompson</x:v>
      </x:c>
      <x:c r="C13" s="8" t="n">
        <x:v>46367</x:v>
      </x:c>
      <x:c r="D13" s="12" t="n">
        <x:v>40</x:v>
      </x:c>
      <x:c r="E13" s="12" t="n">
        <x:f>SUMIFS('Assignments'!$E$2:$E$353,'Assignments'!$A$2:$A$353,A13,'Assignments'!$B$2:$B$353,C13)</x:f>
        <x:v>21.2</x:v>
      </x:c>
      <x:c r="F13" s="12" t="n">
        <x:f>D13-E13</x:f>
        <x:v>18.8</x:v>
      </x:c>
      <x:c r="G13" s="14" t="n">
        <x:f>E13/D13</x:f>
        <x:v>0.53</x:v>
      </x:c>
    </x:row>
    <x:row r="14" ht="40" customHeight="1">
      <x:c r="A14" s="6" t="str">
        <x:v>FW-E004</x:v>
      </x:c>
      <x:c r="B14" s="6" t="str">
        <x:v>Noah Williams</x:v>
      </x:c>
      <x:c r="C14" s="7" t="n">
        <x:v>46277</x:v>
      </x:c>
      <x:c r="D14" s="11" t="n">
        <x:v>40</x:v>
      </x:c>
      <x:c r="E14" s="11" t="n">
        <x:f>SUMIFS('Assignments'!$E$2:$E$353,'Assignments'!$A$2:$A$353,A14,'Assignments'!$B$2:$B$353,C14)</x:f>
        <x:v>36.4</x:v>
      </x:c>
      <x:c r="F14" s="11" t="n">
        <x:f>D14-E14</x:f>
        <x:v>3.6000000000000014</x:v>
      </x:c>
      <x:c r="G14" s="13" t="n">
        <x:f>E14/D14</x:f>
        <x:v>0.9099999999999999</x:v>
      </x:c>
    </x:row>
    <x:row r="15" ht="40" customHeight="1">
      <x:c r="A15" s="3" t="str">
        <x:v>FW-E004</x:v>
      </x:c>
      <x:c r="B15" s="3" t="str">
        <x:v>Noah Williams</x:v>
      </x:c>
      <x:c r="C15" s="8" t="n">
        <x:v>46307</x:v>
      </x:c>
      <x:c r="D15" s="12" t="n">
        <x:v>40</x:v>
      </x:c>
      <x:c r="E15" s="12" t="n">
        <x:f>SUMIFS('Assignments'!$E$2:$E$353,'Assignments'!$A$2:$A$353,A15,'Assignments'!$B$2:$B$353,C15)</x:f>
        <x:v>37.6</x:v>
      </x:c>
      <x:c r="F15" s="12" t="n">
        <x:f>D15-E15</x:f>
        <x:v>2.3999999999999986</x:v>
      </x:c>
      <x:c r="G15" s="14" t="n">
        <x:f>E15/D15</x:f>
        <x:v>0.9400000000000001</x:v>
      </x:c>
    </x:row>
    <x:row r="16" ht="40" customHeight="1">
      <x:c r="A16" s="6" t="str">
        <x:v>FW-E004</x:v>
      </x:c>
      <x:c r="B16" s="6" t="str">
        <x:v>Noah Williams</x:v>
      </x:c>
      <x:c r="C16" s="7" t="n">
        <x:v>46337</x:v>
      </x:c>
      <x:c r="D16" s="11" t="n">
        <x:v>40</x:v>
      </x:c>
      <x:c r="E16" s="11" t="n">
        <x:f>SUMIFS('Assignments'!$E$2:$E$353,'Assignments'!$A$2:$A$353,A16,'Assignments'!$B$2:$B$353,C16)</x:f>
        <x:v>25.2</x:v>
      </x:c>
      <x:c r="F16" s="11" t="n">
        <x:f>D16-E16</x:f>
        <x:v>14.8</x:v>
      </x:c>
      <x:c r="G16" s="13" t="n">
        <x:f>E16/D16</x:f>
        <x:v>0.63</x:v>
      </x:c>
    </x:row>
    <x:row r="17" ht="40" customHeight="1">
      <x:c r="A17" s="3" t="str">
        <x:v>FW-E004</x:v>
      </x:c>
      <x:c r="B17" s="3" t="str">
        <x:v>Noah Williams</x:v>
      </x:c>
      <x:c r="C17" s="8" t="n">
        <x:v>46367</x:v>
      </x:c>
      <x:c r="D17" s="12" t="n">
        <x:v>40</x:v>
      </x:c>
      <x:c r="E17" s="12" t="n">
        <x:f>SUMIFS('Assignments'!$E$2:$E$353,'Assignments'!$A$2:$A$353,A17,'Assignments'!$B$2:$B$353,C17)</x:f>
        <x:v>23.2</x:v>
      </x:c>
      <x:c r="F17" s="12" t="n">
        <x:f>D17-E17</x:f>
        <x:v>16.8</x:v>
      </x:c>
      <x:c r="G17" s="14" t="n">
        <x:f>E17/D17</x:f>
        <x:v>0.58</x:v>
      </x:c>
    </x:row>
    <x:row r="18" ht="40" customHeight="1">
      <x:c r="A18" s="6" t="str">
        <x:v>FW-E005</x:v>
      </x:c>
      <x:c r="B18" s="6" t="str">
        <x:v>Priya Shah</x:v>
      </x:c>
      <x:c r="C18" s="7" t="n">
        <x:v>46277</x:v>
      </x:c>
      <x:c r="D18" s="11" t="n">
        <x:v>40</x:v>
      </x:c>
      <x:c r="E18" s="11" t="n">
        <x:f>SUMIFS('Assignments'!$E$2:$E$353,'Assignments'!$A$2:$A$353,A18,'Assignments'!$B$2:$B$353,C18)</x:f>
        <x:v>26.8</x:v>
      </x:c>
      <x:c r="F18" s="11" t="n">
        <x:f>D18-E18</x:f>
        <x:v>13.2</x:v>
      </x:c>
      <x:c r="G18" s="13" t="n">
        <x:f>E18/D18</x:f>
        <x:v>0.67</x:v>
      </x:c>
    </x:row>
    <x:row r="19" ht="40" customHeight="1">
      <x:c r="A19" s="3" t="str">
        <x:v>FW-E005</x:v>
      </x:c>
      <x:c r="B19" s="3" t="str">
        <x:v>Priya Shah</x:v>
      </x:c>
      <x:c r="C19" s="8" t="n">
        <x:v>46307</x:v>
      </x:c>
      <x:c r="D19" s="12" t="n">
        <x:v>40</x:v>
      </x:c>
      <x:c r="E19" s="12" t="n">
        <x:f>SUMIFS('Assignments'!$E$2:$E$353,'Assignments'!$A$2:$A$353,A19,'Assignments'!$B$2:$B$353,C19)</x:f>
        <x:v>27.6</x:v>
      </x:c>
      <x:c r="F19" s="12" t="n">
        <x:f>D19-E19</x:f>
        <x:v>12.399999999999999</x:v>
      </x:c>
      <x:c r="G19" s="14" t="n">
        <x:f>E19/D19</x:f>
        <x:v>0.6900000000000001</x:v>
      </x:c>
    </x:row>
    <x:row r="20" ht="40" customHeight="1">
      <x:c r="A20" s="6" t="str">
        <x:v>FW-E005</x:v>
      </x:c>
      <x:c r="B20" s="6" t="str">
        <x:v>Priya Shah</x:v>
      </x:c>
      <x:c r="C20" s="7" t="n">
        <x:v>46337</x:v>
      </x:c>
      <x:c r="D20" s="11" t="n">
        <x:v>40</x:v>
      </x:c>
      <x:c r="E20" s="11" t="n">
        <x:f>SUMIFS('Assignments'!$E$2:$E$353,'Assignments'!$A$2:$A$353,A20,'Assignments'!$B$2:$B$353,C20)</x:f>
        <x:v>21.6</x:v>
      </x:c>
      <x:c r="F20" s="11" t="n">
        <x:f>D20-E20</x:f>
        <x:v>18.4</x:v>
      </x:c>
      <x:c r="G20" s="13" t="n">
        <x:f>E20/D20</x:f>
        <x:v>0.54</x:v>
      </x:c>
    </x:row>
    <x:row r="21" ht="40" customHeight="1">
      <x:c r="A21" s="3" t="str">
        <x:v>FW-E005</x:v>
      </x:c>
      <x:c r="B21" s="3" t="str">
        <x:v>Priya Shah</x:v>
      </x:c>
      <x:c r="C21" s="8" t="n">
        <x:v>46367</x:v>
      </x:c>
      <x:c r="D21" s="12" t="n">
        <x:v>40</x:v>
      </x:c>
      <x:c r="E21" s="12" t="n">
        <x:f>SUMIFS('Assignments'!$E$2:$E$353,'Assignments'!$A$2:$A$353,A21,'Assignments'!$B$2:$B$353,C21)</x:f>
        <x:v>19.6</x:v>
      </x:c>
      <x:c r="F21" s="12" t="n">
        <x:f>D21-E21</x:f>
        <x:v>20.4</x:v>
      </x:c>
      <x:c r="G21" s="14" t="n">
        <x:f>E21/D21</x:f>
        <x:v>0.49000000000000005</x:v>
      </x:c>
    </x:row>
    <x:row r="22" ht="40" customHeight="1">
      <x:c r="A22" s="6" t="str">
        <x:v>FW-E006</x:v>
      </x:c>
      <x:c r="B22" s="6" t="str">
        <x:v>Lucas Bennett</x:v>
      </x:c>
      <x:c r="C22" s="7" t="n">
        <x:v>46277</x:v>
      </x:c>
      <x:c r="D22" s="11" t="n">
        <x:v>40</x:v>
      </x:c>
      <x:c r="E22" s="11" t="n">
        <x:f>SUMIFS('Assignments'!$E$2:$E$353,'Assignments'!$A$2:$A$353,A22,'Assignments'!$B$2:$B$353,C22)</x:f>
        <x:v>24.8</x:v>
      </x:c>
      <x:c r="F22" s="11" t="n">
        <x:f>D22-E22</x:f>
        <x:v>15.2</x:v>
      </x:c>
      <x:c r="G22" s="13" t="n">
        <x:f>E22/D22</x:f>
        <x:v>0.62</x:v>
      </x:c>
    </x:row>
    <x:row r="23" ht="40" customHeight="1">
      <x:c r="A23" s="3" t="str">
        <x:v>FW-E006</x:v>
      </x:c>
      <x:c r="B23" s="3" t="str">
        <x:v>Lucas Bennett</x:v>
      </x:c>
      <x:c r="C23" s="8" t="n">
        <x:v>46307</x:v>
      </x:c>
      <x:c r="D23" s="12" t="n">
        <x:v>40</x:v>
      </x:c>
      <x:c r="E23" s="12" t="n">
        <x:f>SUMIFS('Assignments'!$E$2:$E$353,'Assignments'!$A$2:$A$353,A23,'Assignments'!$B$2:$B$353,C23)</x:f>
        <x:v>26.8</x:v>
      </x:c>
      <x:c r="F23" s="12" t="n">
        <x:f>D23-E23</x:f>
        <x:v>13.2</x:v>
      </x:c>
      <x:c r="G23" s="14" t="n">
        <x:f>E23/D23</x:f>
        <x:v>0.67</x:v>
      </x:c>
    </x:row>
    <x:row r="24" ht="40" customHeight="1">
      <x:c r="A24" s="6" t="str">
        <x:v>FW-E006</x:v>
      </x:c>
      <x:c r="B24" s="6" t="str">
        <x:v>Lucas Bennett</x:v>
      </x:c>
      <x:c r="C24" s="7" t="n">
        <x:v>46337</x:v>
      </x:c>
      <x:c r="D24" s="11" t="n">
        <x:v>40</x:v>
      </x:c>
      <x:c r="E24" s="11" t="n">
        <x:f>SUMIFS('Assignments'!$E$2:$E$353,'Assignments'!$A$2:$A$353,A24,'Assignments'!$B$2:$B$353,C24)</x:f>
        <x:v>23.2</x:v>
      </x:c>
      <x:c r="F24" s="11" t="n">
        <x:f>D24-E24</x:f>
        <x:v>16.8</x:v>
      </x:c>
      <x:c r="G24" s="13" t="n">
        <x:f>E24/D24</x:f>
        <x:v>0.58</x:v>
      </x:c>
    </x:row>
    <x:row r="25" ht="40" customHeight="1">
      <x:c r="A25" s="3" t="str">
        <x:v>FW-E006</x:v>
      </x:c>
      <x:c r="B25" s="3" t="str">
        <x:v>Lucas Bennett</x:v>
      </x:c>
      <x:c r="C25" s="8" t="n">
        <x:v>46367</x:v>
      </x:c>
      <x:c r="D25" s="12" t="n">
        <x:v>40</x:v>
      </x:c>
      <x:c r="E25" s="12" t="n">
        <x:f>SUMIFS('Assignments'!$E$2:$E$353,'Assignments'!$A$2:$A$353,A25,'Assignments'!$B$2:$B$353,C25)</x:f>
        <x:v>21.2</x:v>
      </x:c>
      <x:c r="F25" s="12" t="n">
        <x:f>D25-E25</x:f>
        <x:v>18.8</x:v>
      </x:c>
      <x:c r="G25" s="14" t="n">
        <x:f>E25/D25</x:f>
        <x:v>0.53</x:v>
      </x:c>
    </x:row>
    <x:row r="26" ht="40" customHeight="1">
      <x:c r="A26" s="6" t="str">
        <x:v>FW-E007</x:v>
      </x:c>
      <x:c r="B26" s="6" t="str">
        <x:v>Sofia Ramirez</x:v>
      </x:c>
      <x:c r="C26" s="7" t="n">
        <x:v>46277</x:v>
      </x:c>
      <x:c r="D26" s="11" t="n">
        <x:v>40</x:v>
      </x:c>
      <x:c r="E26" s="11" t="n">
        <x:f>SUMIFS('Assignments'!$E$2:$E$353,'Assignments'!$A$2:$A$353,A26,'Assignments'!$B$2:$B$353,C26)</x:f>
        <x:v>28.4</x:v>
      </x:c>
      <x:c r="F26" s="11" t="n">
        <x:f>D26-E26</x:f>
        <x:v>11.600000000000001</x:v>
      </x:c>
      <x:c r="G26" s="13" t="n">
        <x:f>E26/D26</x:f>
        <x:v>0.71</x:v>
      </x:c>
    </x:row>
    <x:row r="27" ht="40" customHeight="1">
      <x:c r="A27" s="3" t="str">
        <x:v>FW-E007</x:v>
      </x:c>
      <x:c r="B27" s="3" t="str">
        <x:v>Sofia Ramirez</x:v>
      </x:c>
      <x:c r="C27" s="8" t="n">
        <x:v>46307</x:v>
      </x:c>
      <x:c r="D27" s="12" t="n">
        <x:v>40</x:v>
      </x:c>
      <x:c r="E27" s="12" t="n">
        <x:f>SUMIFS('Assignments'!$E$2:$E$353,'Assignments'!$A$2:$A$353,A27,'Assignments'!$B$2:$B$353,C27)</x:f>
        <x:v>30.4</x:v>
      </x:c>
      <x:c r="F27" s="12" t="n">
        <x:f>D27-E27</x:f>
        <x:v>9.600000000000001</x:v>
      </x:c>
      <x:c r="G27" s="14" t="n">
        <x:f>E27/D27</x:f>
        <x:v>0.76</x:v>
      </x:c>
    </x:row>
    <x:row r="28" ht="40" customHeight="1">
      <x:c r="A28" s="6" t="str">
        <x:v>FW-E007</x:v>
      </x:c>
      <x:c r="B28" s="6" t="str">
        <x:v>Sofia Ramirez</x:v>
      </x:c>
      <x:c r="C28" s="7" t="n">
        <x:v>46337</x:v>
      </x:c>
      <x:c r="D28" s="11" t="n">
        <x:v>40</x:v>
      </x:c>
      <x:c r="E28" s="11" t="n">
        <x:f>SUMIFS('Assignments'!$E$2:$E$353,'Assignments'!$A$2:$A$353,A28,'Assignments'!$B$2:$B$353,C28)</x:f>
        <x:v>26</x:v>
      </x:c>
      <x:c r="F28" s="11" t="n">
        <x:f>D28-E28</x:f>
        <x:v>14</x:v>
      </x:c>
      <x:c r="G28" s="13" t="n">
        <x:f>E28/D28</x:f>
        <x:v>0.65</x:v>
      </x:c>
    </x:row>
    <x:row r="29" ht="40" customHeight="1">
      <x:c r="A29" s="3" t="str">
        <x:v>FW-E007</x:v>
      </x:c>
      <x:c r="B29" s="3" t="str">
        <x:v>Sofia Ramirez</x:v>
      </x:c>
      <x:c r="C29" s="8" t="n">
        <x:v>46367</x:v>
      </x:c>
      <x:c r="D29" s="12" t="n">
        <x:v>40</x:v>
      </x:c>
      <x:c r="E29" s="12" t="n">
        <x:f>SUMIFS('Assignments'!$E$2:$E$353,'Assignments'!$A$2:$A$353,A29,'Assignments'!$B$2:$B$353,C29)</x:f>
        <x:v>24</x:v>
      </x:c>
      <x:c r="F29" s="12" t="n">
        <x:f>D29-E29</x:f>
        <x:v>16</x:v>
      </x:c>
      <x:c r="G29" s="14" t="n">
        <x:f>E29/D29</x:f>
        <x:v>0.6</x:v>
      </x:c>
    </x:row>
    <x:row r="30" ht="40" customHeight="1">
      <x:c r="A30" s="6" t="str">
        <x:v>FW-E008</x:v>
      </x:c>
      <x:c r="B30" s="6" t="str">
        <x:v>Ethan Cole</x:v>
      </x:c>
      <x:c r="C30" s="7" t="n">
        <x:v>46277</x:v>
      </x:c>
      <x:c r="D30" s="11" t="n">
        <x:v>40</x:v>
      </x:c>
      <x:c r="E30" s="11" t="n">
        <x:f>SUMIFS('Assignments'!$E$2:$E$353,'Assignments'!$A$2:$A$353,A30,'Assignments'!$B$2:$B$353,C30)</x:f>
        <x:v>23.6</x:v>
      </x:c>
      <x:c r="F30" s="11" t="n">
        <x:f>D30-E30</x:f>
        <x:v>16.4</x:v>
      </x:c>
      <x:c r="G30" s="13" t="n">
        <x:f>E30/D30</x:f>
        <x:v>0.5900000000000001</x:v>
      </x:c>
    </x:row>
    <x:row r="31" ht="40" customHeight="1">
      <x:c r="A31" s="3" t="str">
        <x:v>FW-E008</x:v>
      </x:c>
      <x:c r="B31" s="3" t="str">
        <x:v>Ethan Cole</x:v>
      </x:c>
      <x:c r="C31" s="8" t="n">
        <x:v>46307</x:v>
      </x:c>
      <x:c r="D31" s="12" t="n">
        <x:v>40</x:v>
      </x:c>
      <x:c r="E31" s="12" t="n">
        <x:f>SUMIFS('Assignments'!$E$2:$E$353,'Assignments'!$A$2:$A$353,A31,'Assignments'!$B$2:$B$353,C31)</x:f>
        <x:v>25.6</x:v>
      </x:c>
      <x:c r="F31" s="12" t="n">
        <x:f>D31-E31</x:f>
        <x:v>14.399999999999999</x:v>
      </x:c>
      <x:c r="G31" s="14" t="n">
        <x:f>E31/D31</x:f>
        <x:v>0.64</x:v>
      </x:c>
    </x:row>
    <x:row r="32" ht="40" customHeight="1">
      <x:c r="A32" s="6" t="str">
        <x:v>FW-E008</x:v>
      </x:c>
      <x:c r="B32" s="6" t="str">
        <x:v>Ethan Cole</x:v>
      </x:c>
      <x:c r="C32" s="7" t="n">
        <x:v>46337</x:v>
      </x:c>
      <x:c r="D32" s="11" t="n">
        <x:v>40</x:v>
      </x:c>
      <x:c r="E32" s="11" t="n">
        <x:f>SUMIFS('Assignments'!$E$2:$E$353,'Assignments'!$A$2:$A$353,A32,'Assignments'!$B$2:$B$353,C32)</x:f>
        <x:v>22</x:v>
      </x:c>
      <x:c r="F32" s="11" t="n">
        <x:f>D32-E32</x:f>
        <x:v>18</x:v>
      </x:c>
      <x:c r="G32" s="13" t="n">
        <x:f>E32/D32</x:f>
        <x:v>0.55</x:v>
      </x:c>
    </x:row>
    <x:row r="33" ht="40" customHeight="1">
      <x:c r="A33" s="3" t="str">
        <x:v>FW-E008</x:v>
      </x:c>
      <x:c r="B33" s="3" t="str">
        <x:v>Ethan Cole</x:v>
      </x:c>
      <x:c r="C33" s="8" t="n">
        <x:v>46367</x:v>
      </x:c>
      <x:c r="D33" s="12" t="n">
        <x:v>40</x:v>
      </x:c>
      <x:c r="E33" s="12" t="n">
        <x:f>SUMIFS('Assignments'!$E$2:$E$353,'Assignments'!$A$2:$A$353,A33,'Assignments'!$B$2:$B$353,C33)</x:f>
        <x:v>20</x:v>
      </x:c>
      <x:c r="F33" s="12" t="n">
        <x:f>D33-E33</x:f>
        <x:v>20</x:v>
      </x:c>
      <x:c r="G33" s="14" t="n">
        <x:f>E33/D33</x:f>
        <x:v>0.5</x:v>
      </x:c>
    </x:row>
    <x:row r="34" ht="40" customHeight="1">
      <x:c r="A34" s="6" t="str">
        <x:v>FW-E009</x:v>
      </x:c>
      <x:c r="B34" s="6" t="str">
        <x:v>Olivia Chen</x:v>
      </x:c>
      <x:c r="C34" s="7" t="n">
        <x:v>46277</x:v>
      </x:c>
      <x:c r="D34" s="11" t="n">
        <x:v>40</x:v>
      </x:c>
      <x:c r="E34" s="11" t="n">
        <x:f>SUMIFS('Assignments'!$E$2:$E$353,'Assignments'!$A$2:$A$353,A34,'Assignments'!$B$2:$B$353,C34)</x:f>
        <x:v>33.6</x:v>
      </x:c>
      <x:c r="F34" s="11" t="n">
        <x:f>D34-E34</x:f>
        <x:v>6.399999999999999</x:v>
      </x:c>
      <x:c r="G34" s="13" t="n">
        <x:f>E34/D34</x:f>
        <x:v>0.8400000000000001</x:v>
      </x:c>
    </x:row>
    <x:row r="35" ht="40" customHeight="1">
      <x:c r="A35" s="3" t="str">
        <x:v>FW-E009</x:v>
      </x:c>
      <x:c r="B35" s="3" t="str">
        <x:v>Olivia Chen</x:v>
      </x:c>
      <x:c r="C35" s="8" t="n">
        <x:v>46307</x:v>
      </x:c>
      <x:c r="D35" s="12" t="n">
        <x:v>40</x:v>
      </x:c>
      <x:c r="E35" s="12" t="n">
        <x:f>SUMIFS('Assignments'!$E$2:$E$353,'Assignments'!$A$2:$A$353,A35,'Assignments'!$B$2:$B$353,C35)</x:f>
        <x:v>34.4</x:v>
      </x:c>
      <x:c r="F35" s="12" t="n">
        <x:f>D35-E35</x:f>
        <x:v>5.600000000000001</x:v>
      </x:c>
      <x:c r="G35" s="14" t="n">
        <x:f>E35/D35</x:f>
        <x:v>0.86</x:v>
      </x:c>
    </x:row>
    <x:row r="36" ht="40" customHeight="1">
      <x:c r="A36" s="6" t="str">
        <x:v>FW-E009</x:v>
      </x:c>
      <x:c r="B36" s="6" t="str">
        <x:v>Olivia Chen</x:v>
      </x:c>
      <x:c r="C36" s="7" t="n">
        <x:v>46337</x:v>
      </x:c>
      <x:c r="D36" s="11" t="n">
        <x:v>40</x:v>
      </x:c>
      <x:c r="E36" s="11" t="n">
        <x:f>SUMIFS('Assignments'!$E$2:$E$353,'Assignments'!$A$2:$A$353,A36,'Assignments'!$B$2:$B$353,C36)</x:f>
        <x:v>30.4</x:v>
      </x:c>
      <x:c r="F36" s="11" t="n">
        <x:f>D36-E36</x:f>
        <x:v>9.600000000000001</x:v>
      </x:c>
      <x:c r="G36" s="13" t="n">
        <x:f>E36/D36</x:f>
        <x:v>0.76</x:v>
      </x:c>
    </x:row>
    <x:row r="37" ht="40" customHeight="1">
      <x:c r="A37" s="3" t="str">
        <x:v>FW-E009</x:v>
      </x:c>
      <x:c r="B37" s="3" t="str">
        <x:v>Olivia Chen</x:v>
      </x:c>
      <x:c r="C37" s="8" t="n">
        <x:v>46367</x:v>
      </x:c>
      <x:c r="D37" s="12" t="n">
        <x:v>40</x:v>
      </x:c>
      <x:c r="E37" s="12" t="n">
        <x:f>SUMIFS('Assignments'!$E$2:$E$353,'Assignments'!$A$2:$A$353,A37,'Assignments'!$B$2:$B$353,C37)</x:f>
        <x:v>28.4</x:v>
      </x:c>
      <x:c r="F37" s="12" t="n">
        <x:f>D37-E37</x:f>
        <x:v>11.600000000000001</x:v>
      </x:c>
      <x:c r="G37" s="14" t="n">
        <x:f>E37/D37</x:f>
        <x:v>0.71</x:v>
      </x:c>
    </x:row>
    <x:row r="38" ht="40" customHeight="1">
      <x:c r="A38" s="6" t="str">
        <x:v>FW-E010</x:v>
      </x:c>
      <x:c r="B38" s="6" t="str">
        <x:v>Marcus Reed</x:v>
      </x:c>
      <x:c r="C38" s="7" t="n">
        <x:v>46277</x:v>
      </x:c>
      <x:c r="D38" s="11" t="n">
        <x:v>40</x:v>
      </x:c>
      <x:c r="E38" s="11" t="n">
        <x:f>SUMIFS('Assignments'!$E$2:$E$353,'Assignments'!$A$2:$A$353,A38,'Assignments'!$B$2:$B$353,C38)</x:f>
        <x:v>33.6</x:v>
      </x:c>
      <x:c r="F38" s="11" t="n">
        <x:f>D38-E38</x:f>
        <x:v>6.399999999999999</x:v>
      </x:c>
      <x:c r="G38" s="13" t="n">
        <x:f>E38/D38</x:f>
        <x:v>0.8400000000000001</x:v>
      </x:c>
    </x:row>
    <x:row r="39" ht="40" customHeight="1">
      <x:c r="A39" s="3" t="str">
        <x:v>FW-E010</x:v>
      </x:c>
      <x:c r="B39" s="3" t="str">
        <x:v>Marcus Reed</x:v>
      </x:c>
      <x:c r="C39" s="8" t="n">
        <x:v>46307</x:v>
      </x:c>
      <x:c r="D39" s="12" t="n">
        <x:v>40</x:v>
      </x:c>
      <x:c r="E39" s="12" t="n">
        <x:f>SUMIFS('Assignments'!$E$2:$E$353,'Assignments'!$A$2:$A$353,A39,'Assignments'!$B$2:$B$353,C39)</x:f>
        <x:v>34.4</x:v>
      </x:c>
      <x:c r="F39" s="12" t="n">
        <x:f>D39-E39</x:f>
        <x:v>5.600000000000001</x:v>
      </x:c>
      <x:c r="G39" s="14" t="n">
        <x:f>E39/D39</x:f>
        <x:v>0.86</x:v>
      </x:c>
    </x:row>
    <x:row r="40" ht="40" customHeight="1">
      <x:c r="A40" s="6" t="str">
        <x:v>FW-E010</x:v>
      </x:c>
      <x:c r="B40" s="6" t="str">
        <x:v>Marcus Reed</x:v>
      </x:c>
      <x:c r="C40" s="7" t="n">
        <x:v>46337</x:v>
      </x:c>
      <x:c r="D40" s="11" t="n">
        <x:v>40</x:v>
      </x:c>
      <x:c r="E40" s="11" t="n">
        <x:f>SUMIFS('Assignments'!$E$2:$E$353,'Assignments'!$A$2:$A$353,A40,'Assignments'!$B$2:$B$353,C40)</x:f>
        <x:v>30.4</x:v>
      </x:c>
      <x:c r="F40" s="11" t="n">
        <x:f>D40-E40</x:f>
        <x:v>9.600000000000001</x:v>
      </x:c>
      <x:c r="G40" s="13" t="n">
        <x:f>E40/D40</x:f>
        <x:v>0.76</x:v>
      </x:c>
    </x:row>
    <x:row r="41" ht="40" customHeight="1">
      <x:c r="A41" s="3" t="str">
        <x:v>FW-E010</x:v>
      </x:c>
      <x:c r="B41" s="3" t="str">
        <x:v>Marcus Reed</x:v>
      </x:c>
      <x:c r="C41" s="8" t="n">
        <x:v>46367</x:v>
      </x:c>
      <x:c r="D41" s="12" t="n">
        <x:v>40</x:v>
      </x:c>
      <x:c r="E41" s="12" t="n">
        <x:f>SUMIFS('Assignments'!$E$2:$E$353,'Assignments'!$A$2:$A$353,A41,'Assignments'!$B$2:$B$353,C41)</x:f>
        <x:v>28.4</x:v>
      </x:c>
      <x:c r="F41" s="12" t="n">
        <x:f>D41-E41</x:f>
        <x:v>11.600000000000001</x:v>
      </x:c>
      <x:c r="G41" s="14" t="n">
        <x:f>E41/D41</x:f>
        <x:v>0.71</x:v>
      </x:c>
    </x:row>
    <x:row r="42" ht="40" customHeight="1">
      <x:c r="A42" s="6" t="str">
        <x:v>FW-E011</x:v>
      </x:c>
      <x:c r="B42" s="6" t="str">
        <x:v>Ava Patel</x:v>
      </x:c>
      <x:c r="C42" s="7" t="n">
        <x:v>46277</x:v>
      </x:c>
      <x:c r="D42" s="11" t="n">
        <x:v>40</x:v>
      </x:c>
      <x:c r="E42" s="11" t="n">
        <x:f>SUMIFS('Assignments'!$E$2:$E$353,'Assignments'!$A$2:$A$353,A42,'Assignments'!$B$2:$B$353,C42)</x:f>
        <x:v>33.6</x:v>
      </x:c>
      <x:c r="F42" s="11" t="n">
        <x:f>D42-E42</x:f>
        <x:v>6.399999999999999</x:v>
      </x:c>
      <x:c r="G42" s="13" t="n">
        <x:f>E42/D42</x:f>
        <x:v>0.8400000000000001</x:v>
      </x:c>
    </x:row>
    <x:row r="43" ht="40" customHeight="1">
      <x:c r="A43" s="3" t="str">
        <x:v>FW-E011</x:v>
      </x:c>
      <x:c r="B43" s="3" t="str">
        <x:v>Ava Patel</x:v>
      </x:c>
      <x:c r="C43" s="8" t="n">
        <x:v>46307</x:v>
      </x:c>
      <x:c r="D43" s="12" t="n">
        <x:v>40</x:v>
      </x:c>
      <x:c r="E43" s="12" t="n">
        <x:f>SUMIFS('Assignments'!$E$2:$E$353,'Assignments'!$A$2:$A$353,A43,'Assignments'!$B$2:$B$353,C43)</x:f>
        <x:v>34.4</x:v>
      </x:c>
      <x:c r="F43" s="12" t="n">
        <x:f>D43-E43</x:f>
        <x:v>5.600000000000001</x:v>
      </x:c>
      <x:c r="G43" s="14" t="n">
        <x:f>E43/D43</x:f>
        <x:v>0.86</x:v>
      </x:c>
    </x:row>
    <x:row r="44" ht="40" customHeight="1">
      <x:c r="A44" s="6" t="str">
        <x:v>FW-E011</x:v>
      </x:c>
      <x:c r="B44" s="6" t="str">
        <x:v>Ava Patel</x:v>
      </x:c>
      <x:c r="C44" s="7" t="n">
        <x:v>46337</x:v>
      </x:c>
      <x:c r="D44" s="11" t="n">
        <x:v>40</x:v>
      </x:c>
      <x:c r="E44" s="11" t="n">
        <x:f>SUMIFS('Assignments'!$E$2:$E$353,'Assignments'!$A$2:$A$353,A44,'Assignments'!$B$2:$B$353,C44)</x:f>
        <x:v>30.4</x:v>
      </x:c>
      <x:c r="F44" s="11" t="n">
        <x:f>D44-E44</x:f>
        <x:v>9.600000000000001</x:v>
      </x:c>
      <x:c r="G44" s="13" t="n">
        <x:f>E44/D44</x:f>
        <x:v>0.76</x:v>
      </x:c>
    </x:row>
    <x:row r="45" ht="40" customHeight="1">
      <x:c r="A45" s="3" t="str">
        <x:v>FW-E011</x:v>
      </x:c>
      <x:c r="B45" s="3" t="str">
        <x:v>Ava Patel</x:v>
      </x:c>
      <x:c r="C45" s="8" t="n">
        <x:v>46367</x:v>
      </x:c>
      <x:c r="D45" s="12" t="n">
        <x:v>40</x:v>
      </x:c>
      <x:c r="E45" s="12" t="n">
        <x:f>SUMIFS('Assignments'!$E$2:$E$353,'Assignments'!$A$2:$A$353,A45,'Assignments'!$B$2:$B$353,C45)</x:f>
        <x:v>28.4</x:v>
      </x:c>
      <x:c r="F45" s="12" t="n">
        <x:f>D45-E45</x:f>
        <x:v>11.600000000000001</x:v>
      </x:c>
      <x:c r="G45" s="14" t="n">
        <x:f>E45/D45</x:f>
        <x:v>0.71</x:v>
      </x:c>
    </x:row>
    <x:row r="46" ht="40" customHeight="1">
      <x:c r="A46" s="6" t="str">
        <x:v>FW-E012</x:v>
      </x:c>
      <x:c r="B46" s="6" t="str">
        <x:v>Benjamin Foster</x:v>
      </x:c>
      <x:c r="C46" s="7" t="n">
        <x:v>46277</x:v>
      </x:c>
      <x:c r="D46" s="11" t="n">
        <x:v>40</x:v>
      </x:c>
      <x:c r="E46" s="11" t="n">
        <x:f>SUMIFS('Assignments'!$E$2:$E$353,'Assignments'!$A$2:$A$353,A46,'Assignments'!$B$2:$B$353,C46)</x:f>
        <x:v>33.6</x:v>
      </x:c>
      <x:c r="F46" s="11" t="n">
        <x:f>D46-E46</x:f>
        <x:v>6.399999999999999</x:v>
      </x:c>
      <x:c r="G46" s="13" t="n">
        <x:f>E46/D46</x:f>
        <x:v>0.8400000000000001</x:v>
      </x:c>
    </x:row>
    <x:row r="47" ht="40" customHeight="1">
      <x:c r="A47" s="3" t="str">
        <x:v>FW-E012</x:v>
      </x:c>
      <x:c r="B47" s="3" t="str">
        <x:v>Benjamin Foster</x:v>
      </x:c>
      <x:c r="C47" s="8" t="n">
        <x:v>46307</x:v>
      </x:c>
      <x:c r="D47" s="12" t="n">
        <x:v>40</x:v>
      </x:c>
      <x:c r="E47" s="12" t="n">
        <x:f>SUMIFS('Assignments'!$E$2:$E$353,'Assignments'!$A$2:$A$353,A47,'Assignments'!$B$2:$B$353,C47)</x:f>
        <x:v>34.4</x:v>
      </x:c>
      <x:c r="F47" s="12" t="n">
        <x:f>D47-E47</x:f>
        <x:v>5.600000000000001</x:v>
      </x:c>
      <x:c r="G47" s="14" t="n">
        <x:f>E47/D47</x:f>
        <x:v>0.86</x:v>
      </x:c>
    </x:row>
    <x:row r="48" ht="40" customHeight="1">
      <x:c r="A48" s="6" t="str">
        <x:v>FW-E012</x:v>
      </x:c>
      <x:c r="B48" s="6" t="str">
        <x:v>Benjamin Foster</x:v>
      </x:c>
      <x:c r="C48" s="7" t="n">
        <x:v>46337</x:v>
      </x:c>
      <x:c r="D48" s="11" t="n">
        <x:v>40</x:v>
      </x:c>
      <x:c r="E48" s="11" t="n">
        <x:f>SUMIFS('Assignments'!$E$2:$E$353,'Assignments'!$A$2:$A$353,A48,'Assignments'!$B$2:$B$353,C48)</x:f>
        <x:v>30.4</x:v>
      </x:c>
      <x:c r="F48" s="11" t="n">
        <x:f>D48-E48</x:f>
        <x:v>9.600000000000001</x:v>
      </x:c>
      <x:c r="G48" s="13" t="n">
        <x:f>E48/D48</x:f>
        <x:v>0.76</x:v>
      </x:c>
    </x:row>
    <x:row r="49" ht="40" customHeight="1">
      <x:c r="A49" s="3" t="str">
        <x:v>FW-E012</x:v>
      </x:c>
      <x:c r="B49" s="3" t="str">
        <x:v>Benjamin Foster</x:v>
      </x:c>
      <x:c r="C49" s="8" t="n">
        <x:v>46367</x:v>
      </x:c>
      <x:c r="D49" s="12" t="n">
        <x:v>40</x:v>
      </x:c>
      <x:c r="E49" s="12" t="n">
        <x:f>SUMIFS('Assignments'!$E$2:$E$353,'Assignments'!$A$2:$A$353,A49,'Assignments'!$B$2:$B$353,C49)</x:f>
        <x:v>28.4</x:v>
      </x:c>
      <x:c r="F49" s="12" t="n">
        <x:f>D49-E49</x:f>
        <x:v>11.600000000000001</x:v>
      </x:c>
      <x:c r="G49" s="14" t="n">
        <x:f>E49/D49</x:f>
        <x:v>0.71</x:v>
      </x:c>
    </x:row>
    <x:row r="50" ht="40" customHeight="1">
      <x:c r="A50" s="6" t="str">
        <x:v>FW-E013</x:v>
      </x:c>
      <x:c r="B50" s="6" t="str">
        <x:v>Isabella Torres</x:v>
      </x:c>
      <x:c r="C50" s="7" t="n">
        <x:v>46277</x:v>
      </x:c>
      <x:c r="D50" s="11" t="n">
        <x:v>40</x:v>
      </x:c>
      <x:c r="E50" s="11" t="n">
        <x:f>SUMIFS('Assignments'!$E$2:$E$353,'Assignments'!$A$2:$A$353,A50,'Assignments'!$B$2:$B$353,C50)</x:f>
        <x:v>33.6</x:v>
      </x:c>
      <x:c r="F50" s="11" t="n">
        <x:f>D50-E50</x:f>
        <x:v>6.399999999999999</x:v>
      </x:c>
      <x:c r="G50" s="13" t="n">
        <x:f>E50/D50</x:f>
        <x:v>0.8400000000000001</x:v>
      </x:c>
    </x:row>
    <x:row r="51" ht="40" customHeight="1">
      <x:c r="A51" s="3" t="str">
        <x:v>FW-E013</x:v>
      </x:c>
      <x:c r="B51" s="3" t="str">
        <x:v>Isabella Torres</x:v>
      </x:c>
      <x:c r="C51" s="8" t="n">
        <x:v>46307</x:v>
      </x:c>
      <x:c r="D51" s="12" t="n">
        <x:v>40</x:v>
      </x:c>
      <x:c r="E51" s="12" t="n">
        <x:f>SUMIFS('Assignments'!$E$2:$E$353,'Assignments'!$A$2:$A$353,A51,'Assignments'!$B$2:$B$353,C51)</x:f>
        <x:v>34.4</x:v>
      </x:c>
      <x:c r="F51" s="12" t="n">
        <x:f>D51-E51</x:f>
        <x:v>5.600000000000001</x:v>
      </x:c>
      <x:c r="G51" s="14" t="n">
        <x:f>E51/D51</x:f>
        <x:v>0.86</x:v>
      </x:c>
    </x:row>
    <x:row r="52" ht="40" customHeight="1">
      <x:c r="A52" s="6" t="str">
        <x:v>FW-E013</x:v>
      </x:c>
      <x:c r="B52" s="6" t="str">
        <x:v>Isabella Torres</x:v>
      </x:c>
      <x:c r="C52" s="7" t="n">
        <x:v>46337</x:v>
      </x:c>
      <x:c r="D52" s="11" t="n">
        <x:v>40</x:v>
      </x:c>
      <x:c r="E52" s="11" t="n">
        <x:f>SUMIFS('Assignments'!$E$2:$E$353,'Assignments'!$A$2:$A$353,A52,'Assignments'!$B$2:$B$353,C52)</x:f>
        <x:v>30.4</x:v>
      </x:c>
      <x:c r="F52" s="11" t="n">
        <x:f>D52-E52</x:f>
        <x:v>9.600000000000001</x:v>
      </x:c>
      <x:c r="G52" s="13" t="n">
        <x:f>E52/D52</x:f>
        <x:v>0.76</x:v>
      </x:c>
    </x:row>
    <x:row r="53" ht="40" customHeight="1">
      <x:c r="A53" s="3" t="str">
        <x:v>FW-E013</x:v>
      </x:c>
      <x:c r="B53" s="3" t="str">
        <x:v>Isabella Torres</x:v>
      </x:c>
      <x:c r="C53" s="8" t="n">
        <x:v>46367</x:v>
      </x:c>
      <x:c r="D53" s="12" t="n">
        <x:v>40</x:v>
      </x:c>
      <x:c r="E53" s="12" t="n">
        <x:f>SUMIFS('Assignments'!$E$2:$E$353,'Assignments'!$A$2:$A$353,A53,'Assignments'!$B$2:$B$353,C53)</x:f>
        <x:v>28.4</x:v>
      </x:c>
      <x:c r="F53" s="12" t="n">
        <x:f>D53-E53</x:f>
        <x:v>11.600000000000001</x:v>
      </x:c>
      <x:c r="G53" s="14" t="n">
        <x:f>E53/D53</x:f>
        <x:v>0.71</x:v>
      </x:c>
    </x:row>
    <x:row r="54" ht="40" customHeight="1">
      <x:c r="A54" s="6" t="str">
        <x:v>FW-E014</x:v>
      </x:c>
      <x:c r="B54" s="6" t="str">
        <x:v>Henry Brooks</x:v>
      </x:c>
      <x:c r="C54" s="7" t="n">
        <x:v>46277</x:v>
      </x:c>
      <x:c r="D54" s="11" t="n">
        <x:v>40</x:v>
      </x:c>
      <x:c r="E54" s="11" t="n">
        <x:f>SUMIFS('Assignments'!$E$2:$E$353,'Assignments'!$A$2:$A$353,A54,'Assignments'!$B$2:$B$353,C54)</x:f>
        <x:v>33.6</x:v>
      </x:c>
      <x:c r="F54" s="11" t="n">
        <x:f>D54-E54</x:f>
        <x:v>6.399999999999999</x:v>
      </x:c>
      <x:c r="G54" s="13" t="n">
        <x:f>E54/D54</x:f>
        <x:v>0.8400000000000001</x:v>
      </x:c>
    </x:row>
    <x:row r="55" ht="40" customHeight="1">
      <x:c r="A55" s="3" t="str">
        <x:v>FW-E014</x:v>
      </x:c>
      <x:c r="B55" s="3" t="str">
        <x:v>Henry Brooks</x:v>
      </x:c>
      <x:c r="C55" s="8" t="n">
        <x:v>46307</x:v>
      </x:c>
      <x:c r="D55" s="12" t="n">
        <x:v>40</x:v>
      </x:c>
      <x:c r="E55" s="12" t="n">
        <x:f>SUMIFS('Assignments'!$E$2:$E$353,'Assignments'!$A$2:$A$353,A55,'Assignments'!$B$2:$B$353,C55)</x:f>
        <x:v>34.4</x:v>
      </x:c>
      <x:c r="F55" s="12" t="n">
        <x:f>D55-E55</x:f>
        <x:v>5.600000000000001</x:v>
      </x:c>
      <x:c r="G55" s="14" t="n">
        <x:f>E55/D55</x:f>
        <x:v>0.86</x:v>
      </x:c>
    </x:row>
    <x:row r="56" ht="40" customHeight="1">
      <x:c r="A56" s="6" t="str">
        <x:v>FW-E014</x:v>
      </x:c>
      <x:c r="B56" s="6" t="str">
        <x:v>Henry Brooks</x:v>
      </x:c>
      <x:c r="C56" s="7" t="n">
        <x:v>46337</x:v>
      </x:c>
      <x:c r="D56" s="11" t="n">
        <x:v>40</x:v>
      </x:c>
      <x:c r="E56" s="11" t="n">
        <x:f>SUMIFS('Assignments'!$E$2:$E$353,'Assignments'!$A$2:$A$353,A56,'Assignments'!$B$2:$B$353,C56)</x:f>
        <x:v>30.4</x:v>
      </x:c>
      <x:c r="F56" s="11" t="n">
        <x:f>D56-E56</x:f>
        <x:v>9.600000000000001</x:v>
      </x:c>
      <x:c r="G56" s="13" t="n">
        <x:f>E56/D56</x:f>
        <x:v>0.76</x:v>
      </x:c>
    </x:row>
    <x:row r="57" ht="40" customHeight="1">
      <x:c r="A57" s="3" t="str">
        <x:v>FW-E014</x:v>
      </x:c>
      <x:c r="B57" s="3" t="str">
        <x:v>Henry Brooks</x:v>
      </x:c>
      <x:c r="C57" s="8" t="n">
        <x:v>46367</x:v>
      </x:c>
      <x:c r="D57" s="12" t="n">
        <x:v>40</x:v>
      </x:c>
      <x:c r="E57" s="12" t="n">
        <x:f>SUMIFS('Assignments'!$E$2:$E$353,'Assignments'!$A$2:$A$353,A57,'Assignments'!$B$2:$B$353,C57)</x:f>
        <x:v>28.4</x:v>
      </x:c>
      <x:c r="F57" s="12" t="n">
        <x:f>D57-E57</x:f>
        <x:v>11.600000000000001</x:v>
      </x:c>
      <x:c r="G57" s="14" t="n">
        <x:f>E57/D57</x:f>
        <x:v>0.71</x:v>
      </x:c>
    </x:row>
    <x:row r="58" ht="40" customHeight="1">
      <x:c r="A58" s="6" t="str">
        <x:v>FW-E015</x:v>
      </x:c>
      <x:c r="B58" s="6" t="str">
        <x:v>Amelia Nguyen</x:v>
      </x:c>
      <x:c r="C58" s="7" t="n">
        <x:v>46277</x:v>
      </x:c>
      <x:c r="D58" s="11" t="n">
        <x:v>40</x:v>
      </x:c>
      <x:c r="E58" s="11" t="n">
        <x:f>SUMIFS('Assignments'!$E$2:$E$353,'Assignments'!$A$2:$A$353,A58,'Assignments'!$B$2:$B$353,C58)</x:f>
        <x:v>33.6</x:v>
      </x:c>
      <x:c r="F58" s="11" t="n">
        <x:f>D58-E58</x:f>
        <x:v>6.399999999999999</x:v>
      </x:c>
      <x:c r="G58" s="13" t="n">
        <x:f>E58/D58</x:f>
        <x:v>0.8400000000000001</x:v>
      </x:c>
    </x:row>
    <x:row r="59" ht="40" customHeight="1">
      <x:c r="A59" s="3" t="str">
        <x:v>FW-E015</x:v>
      </x:c>
      <x:c r="B59" s="3" t="str">
        <x:v>Amelia Nguyen</x:v>
      </x:c>
      <x:c r="C59" s="8" t="n">
        <x:v>46307</x:v>
      </x:c>
      <x:c r="D59" s="12" t="n">
        <x:v>40</x:v>
      </x:c>
      <x:c r="E59" s="12" t="n">
        <x:f>SUMIFS('Assignments'!$E$2:$E$353,'Assignments'!$A$2:$A$353,A59,'Assignments'!$B$2:$B$353,C59)</x:f>
        <x:v>34.4</x:v>
      </x:c>
      <x:c r="F59" s="12" t="n">
        <x:f>D59-E59</x:f>
        <x:v>5.600000000000001</x:v>
      </x:c>
      <x:c r="G59" s="14" t="n">
        <x:f>E59/D59</x:f>
        <x:v>0.86</x:v>
      </x:c>
    </x:row>
    <x:row r="60" ht="40" customHeight="1">
      <x:c r="A60" s="6" t="str">
        <x:v>FW-E015</x:v>
      </x:c>
      <x:c r="B60" s="6" t="str">
        <x:v>Amelia Nguyen</x:v>
      </x:c>
      <x:c r="C60" s="7" t="n">
        <x:v>46337</x:v>
      </x:c>
      <x:c r="D60" s="11" t="n">
        <x:v>40</x:v>
      </x:c>
      <x:c r="E60" s="11" t="n">
        <x:f>SUMIFS('Assignments'!$E$2:$E$353,'Assignments'!$A$2:$A$353,A60,'Assignments'!$B$2:$B$353,C60)</x:f>
        <x:v>30.4</x:v>
      </x:c>
      <x:c r="F60" s="11" t="n">
        <x:f>D60-E60</x:f>
        <x:v>9.600000000000001</x:v>
      </x:c>
      <x:c r="G60" s="13" t="n">
        <x:f>E60/D60</x:f>
        <x:v>0.76</x:v>
      </x:c>
    </x:row>
    <x:row r="61" ht="40" customHeight="1">
      <x:c r="A61" s="3" t="str">
        <x:v>FW-E015</x:v>
      </x:c>
      <x:c r="B61" s="3" t="str">
        <x:v>Amelia Nguyen</x:v>
      </x:c>
      <x:c r="C61" s="8" t="n">
        <x:v>46367</x:v>
      </x:c>
      <x:c r="D61" s="12" t="n">
        <x:v>40</x:v>
      </x:c>
      <x:c r="E61" s="12" t="n">
        <x:f>SUMIFS('Assignments'!$E$2:$E$353,'Assignments'!$A$2:$A$353,A61,'Assignments'!$B$2:$B$353,C61)</x:f>
        <x:v>28.4</x:v>
      </x:c>
      <x:c r="F61" s="12" t="n">
        <x:f>D61-E61</x:f>
        <x:v>11.600000000000001</x:v>
      </x:c>
      <x:c r="G61" s="14" t="n">
        <x:f>E61/D61</x:f>
        <x:v>0.71</x:v>
      </x:c>
    </x:row>
    <x:row r="62" ht="40" customHeight="1">
      <x:c r="A62" s="6" t="str">
        <x:v>FW-E016</x:v>
      </x:c>
      <x:c r="B62" s="6" t="str">
        <x:v>Samuel Ortiz</x:v>
      </x:c>
      <x:c r="C62" s="7" t="n">
        <x:v>46277</x:v>
      </x:c>
      <x:c r="D62" s="11" t="n">
        <x:v>40</x:v>
      </x:c>
      <x:c r="E62" s="11" t="n">
        <x:f>SUMIFS('Assignments'!$E$2:$E$353,'Assignments'!$A$2:$A$353,A62,'Assignments'!$B$2:$B$353,C62)</x:f>
        <x:v>33.6</x:v>
      </x:c>
      <x:c r="F62" s="11" t="n">
        <x:f>D62-E62</x:f>
        <x:v>6.399999999999999</x:v>
      </x:c>
      <x:c r="G62" s="13" t="n">
        <x:f>E62/D62</x:f>
        <x:v>0.8400000000000001</x:v>
      </x:c>
    </x:row>
    <x:row r="63" ht="40" customHeight="1">
      <x:c r="A63" s="3" t="str">
        <x:v>FW-E016</x:v>
      </x:c>
      <x:c r="B63" s="3" t="str">
        <x:v>Samuel Ortiz</x:v>
      </x:c>
      <x:c r="C63" s="8" t="n">
        <x:v>46307</x:v>
      </x:c>
      <x:c r="D63" s="12" t="n">
        <x:v>40</x:v>
      </x:c>
      <x:c r="E63" s="12" t="n">
        <x:f>SUMIFS('Assignments'!$E$2:$E$353,'Assignments'!$A$2:$A$353,A63,'Assignments'!$B$2:$B$353,C63)</x:f>
        <x:v>34.4</x:v>
      </x:c>
      <x:c r="F63" s="12" t="n">
        <x:f>D63-E63</x:f>
        <x:v>5.600000000000001</x:v>
      </x:c>
      <x:c r="G63" s="14" t="n">
        <x:f>E63/D63</x:f>
        <x:v>0.86</x:v>
      </x:c>
    </x:row>
    <x:row r="64" ht="40" customHeight="1">
      <x:c r="A64" s="6" t="str">
        <x:v>FW-E016</x:v>
      </x:c>
      <x:c r="B64" s="6" t="str">
        <x:v>Samuel Ortiz</x:v>
      </x:c>
      <x:c r="C64" s="7" t="n">
        <x:v>46337</x:v>
      </x:c>
      <x:c r="D64" s="11" t="n">
        <x:v>40</x:v>
      </x:c>
      <x:c r="E64" s="11" t="n">
        <x:f>SUMIFS('Assignments'!$E$2:$E$353,'Assignments'!$A$2:$A$353,A64,'Assignments'!$B$2:$B$353,C64)</x:f>
        <x:v>30.4</x:v>
      </x:c>
      <x:c r="F64" s="11" t="n">
        <x:f>D64-E64</x:f>
        <x:v>9.600000000000001</x:v>
      </x:c>
      <x:c r="G64" s="13" t="n">
        <x:f>E64/D64</x:f>
        <x:v>0.76</x:v>
      </x:c>
    </x:row>
    <x:row r="65" ht="40" customHeight="1">
      <x:c r="A65" s="3" t="str">
        <x:v>FW-E016</x:v>
      </x:c>
      <x:c r="B65" s="3" t="str">
        <x:v>Samuel Ortiz</x:v>
      </x:c>
      <x:c r="C65" s="8" t="n">
        <x:v>46367</x:v>
      </x:c>
      <x:c r="D65" s="12" t="n">
        <x:v>40</x:v>
      </x:c>
      <x:c r="E65" s="12" t="n">
        <x:f>SUMIFS('Assignments'!$E$2:$E$353,'Assignments'!$A$2:$A$353,A65,'Assignments'!$B$2:$B$353,C65)</x:f>
        <x:v>28.4</x:v>
      </x:c>
      <x:c r="F65" s="12" t="n">
        <x:f>D65-E65</x:f>
        <x:v>11.600000000000001</x:v>
      </x:c>
      <x:c r="G65" s="14" t="n">
        <x:f>E65/D65</x:f>
        <x:v>0.71</x:v>
      </x:c>
    </x:row>
    <x:row r="66" ht="40" customHeight="1">
      <x:c r="A66" s="6" t="str">
        <x:v>FW-E017</x:v>
      </x:c>
      <x:c r="B66" s="6" t="str">
        <x:v>Charlotte Hayes</x:v>
      </x:c>
      <x:c r="C66" s="7" t="n">
        <x:v>46277</x:v>
      </x:c>
      <x:c r="D66" s="11" t="n">
        <x:v>40</x:v>
      </x:c>
      <x:c r="E66" s="11" t="n">
        <x:f>SUMIFS('Assignments'!$E$2:$E$353,'Assignments'!$A$2:$A$353,A66,'Assignments'!$B$2:$B$353,C66)</x:f>
        <x:v>33.6</x:v>
      </x:c>
      <x:c r="F66" s="11" t="n">
        <x:f>D66-E66</x:f>
        <x:v>6.399999999999999</x:v>
      </x:c>
      <x:c r="G66" s="13" t="n">
        <x:f>E66/D66</x:f>
        <x:v>0.8400000000000001</x:v>
      </x:c>
    </x:row>
    <x:row r="67" ht="40" customHeight="1">
      <x:c r="A67" s="3" t="str">
        <x:v>FW-E017</x:v>
      </x:c>
      <x:c r="B67" s="3" t="str">
        <x:v>Charlotte Hayes</x:v>
      </x:c>
      <x:c r="C67" s="8" t="n">
        <x:v>46307</x:v>
      </x:c>
      <x:c r="D67" s="12" t="n">
        <x:v>40</x:v>
      </x:c>
      <x:c r="E67" s="12" t="n">
        <x:f>SUMIFS('Assignments'!$E$2:$E$353,'Assignments'!$A$2:$A$353,A67,'Assignments'!$B$2:$B$353,C67)</x:f>
        <x:v>34.4</x:v>
      </x:c>
      <x:c r="F67" s="12" t="n">
        <x:f>D67-E67</x:f>
        <x:v>5.600000000000001</x:v>
      </x:c>
      <x:c r="G67" s="14" t="n">
        <x:f>E67/D67</x:f>
        <x:v>0.86</x:v>
      </x:c>
    </x:row>
    <x:row r="68" ht="40" customHeight="1">
      <x:c r="A68" s="6" t="str">
        <x:v>FW-E017</x:v>
      </x:c>
      <x:c r="B68" s="6" t="str">
        <x:v>Charlotte Hayes</x:v>
      </x:c>
      <x:c r="C68" s="7" t="n">
        <x:v>46337</x:v>
      </x:c>
      <x:c r="D68" s="11" t="n">
        <x:v>40</x:v>
      </x:c>
      <x:c r="E68" s="11" t="n">
        <x:f>SUMIFS('Assignments'!$E$2:$E$353,'Assignments'!$A$2:$A$353,A68,'Assignments'!$B$2:$B$353,C68)</x:f>
        <x:v>30.4</x:v>
      </x:c>
      <x:c r="F68" s="11" t="n">
        <x:f>D68-E68</x:f>
        <x:v>9.600000000000001</x:v>
      </x:c>
      <x:c r="G68" s="13" t="n">
        <x:f>E68/D68</x:f>
        <x:v>0.76</x:v>
      </x:c>
    </x:row>
    <x:row r="69" ht="40" customHeight="1">
      <x:c r="A69" s="3" t="str">
        <x:v>FW-E017</x:v>
      </x:c>
      <x:c r="B69" s="3" t="str">
        <x:v>Charlotte Hayes</x:v>
      </x:c>
      <x:c r="C69" s="8" t="n">
        <x:v>46367</x:v>
      </x:c>
      <x:c r="D69" s="12" t="n">
        <x:v>40</x:v>
      </x:c>
      <x:c r="E69" s="12" t="n">
        <x:f>SUMIFS('Assignments'!$E$2:$E$353,'Assignments'!$A$2:$A$353,A69,'Assignments'!$B$2:$B$353,C69)</x:f>
        <x:v>28.4</x:v>
      </x:c>
      <x:c r="F69" s="12" t="n">
        <x:f>D69-E69</x:f>
        <x:v>11.600000000000001</x:v>
      </x:c>
      <x:c r="G69" s="14" t="n">
        <x:f>E69/D69</x:f>
        <x:v>0.71</x:v>
      </x:c>
    </x:row>
    <x:row r="70" ht="40" customHeight="1">
      <x:c r="A70" s="6" t="str">
        <x:v>FW-E018</x:v>
      </x:c>
      <x:c r="B70" s="6" t="str">
        <x:v>Owen Price</x:v>
      </x:c>
      <x:c r="C70" s="7" t="n">
        <x:v>46277</x:v>
      </x:c>
      <x:c r="D70" s="11" t="n">
        <x:v>40</x:v>
      </x:c>
      <x:c r="E70" s="11" t="n">
        <x:f>SUMIFS('Assignments'!$E$2:$E$353,'Assignments'!$A$2:$A$353,A70,'Assignments'!$B$2:$B$353,C70)</x:f>
        <x:v>33.6</x:v>
      </x:c>
      <x:c r="F70" s="11" t="n">
        <x:f>D70-E70</x:f>
        <x:v>6.399999999999999</x:v>
      </x:c>
      <x:c r="G70" s="13" t="n">
        <x:f>E70/D70</x:f>
        <x:v>0.8400000000000001</x:v>
      </x:c>
    </x:row>
    <x:row r="71" ht="40" customHeight="1">
      <x:c r="A71" s="3" t="str">
        <x:v>FW-E018</x:v>
      </x:c>
      <x:c r="B71" s="3" t="str">
        <x:v>Owen Price</x:v>
      </x:c>
      <x:c r="C71" s="8" t="n">
        <x:v>46307</x:v>
      </x:c>
      <x:c r="D71" s="12" t="n">
        <x:v>40</x:v>
      </x:c>
      <x:c r="E71" s="12" t="n">
        <x:f>SUMIFS('Assignments'!$E$2:$E$353,'Assignments'!$A$2:$A$353,A71,'Assignments'!$B$2:$B$353,C71)</x:f>
        <x:v>34.4</x:v>
      </x:c>
      <x:c r="F71" s="12" t="n">
        <x:f>D71-E71</x:f>
        <x:v>5.600000000000001</x:v>
      </x:c>
      <x:c r="G71" s="14" t="n">
        <x:f>E71/D71</x:f>
        <x:v>0.86</x:v>
      </x:c>
    </x:row>
    <x:row r="72" ht="40" customHeight="1">
      <x:c r="A72" s="6" t="str">
        <x:v>FW-E018</x:v>
      </x:c>
      <x:c r="B72" s="6" t="str">
        <x:v>Owen Price</x:v>
      </x:c>
      <x:c r="C72" s="7" t="n">
        <x:v>46337</x:v>
      </x:c>
      <x:c r="D72" s="11" t="n">
        <x:v>40</x:v>
      </x:c>
      <x:c r="E72" s="11" t="n">
        <x:f>SUMIFS('Assignments'!$E$2:$E$353,'Assignments'!$A$2:$A$353,A72,'Assignments'!$B$2:$B$353,C72)</x:f>
        <x:v>30.4</x:v>
      </x:c>
      <x:c r="F72" s="11" t="n">
        <x:f>D72-E72</x:f>
        <x:v>9.600000000000001</x:v>
      </x:c>
      <x:c r="G72" s="13" t="n">
        <x:f>E72/D72</x:f>
        <x:v>0.76</x:v>
      </x:c>
    </x:row>
    <x:row r="73" ht="40" customHeight="1">
      <x:c r="A73" s="3" t="str">
        <x:v>FW-E018</x:v>
      </x:c>
      <x:c r="B73" s="3" t="str">
        <x:v>Owen Price</x:v>
      </x:c>
      <x:c r="C73" s="8" t="n">
        <x:v>46367</x:v>
      </x:c>
      <x:c r="D73" s="12" t="n">
        <x:v>40</x:v>
      </x:c>
      <x:c r="E73" s="12" t="n">
        <x:f>SUMIFS('Assignments'!$E$2:$E$353,'Assignments'!$A$2:$A$353,A73,'Assignments'!$B$2:$B$353,C73)</x:f>
        <x:v>28.4</x:v>
      </x:c>
      <x:c r="F73" s="12" t="n">
        <x:f>D73-E73</x:f>
        <x:v>11.600000000000001</x:v>
      </x:c>
      <x:c r="G73" s="14" t="n">
        <x:f>E73/D73</x:f>
        <x:v>0.71</x:v>
      </x:c>
    </x:row>
    <x:row r="74" ht="40" customHeight="1">
      <x:c r="A74" s="6" t="str">
        <x:v>FW-E019</x:v>
      </x:c>
      <x:c r="B74" s="6" t="str">
        <x:v>Grace Park</x:v>
      </x:c>
      <x:c r="C74" s="7" t="n">
        <x:v>46277</x:v>
      </x:c>
      <x:c r="D74" s="11" t="n">
        <x:v>40</x:v>
      </x:c>
      <x:c r="E74" s="11" t="n">
        <x:f>SUMIFS('Assignments'!$E$2:$E$353,'Assignments'!$A$2:$A$353,A74,'Assignments'!$B$2:$B$353,C74)</x:f>
        <x:v>33.6</x:v>
      </x:c>
      <x:c r="F74" s="11" t="n">
        <x:f>D74-E74</x:f>
        <x:v>6.399999999999999</x:v>
      </x:c>
      <x:c r="G74" s="13" t="n">
        <x:f>E74/D74</x:f>
        <x:v>0.8400000000000001</x:v>
      </x:c>
    </x:row>
    <x:row r="75" ht="40" customHeight="1">
      <x:c r="A75" s="3" t="str">
        <x:v>FW-E019</x:v>
      </x:c>
      <x:c r="B75" s="3" t="str">
        <x:v>Grace Park</x:v>
      </x:c>
      <x:c r="C75" s="8" t="n">
        <x:v>46307</x:v>
      </x:c>
      <x:c r="D75" s="12" t="n">
        <x:v>40</x:v>
      </x:c>
      <x:c r="E75" s="12" t="n">
        <x:f>SUMIFS('Assignments'!$E$2:$E$353,'Assignments'!$A$2:$A$353,A75,'Assignments'!$B$2:$B$353,C75)</x:f>
        <x:v>34.4</x:v>
      </x:c>
      <x:c r="F75" s="12" t="n">
        <x:f>D75-E75</x:f>
        <x:v>5.600000000000001</x:v>
      </x:c>
      <x:c r="G75" s="14" t="n">
        <x:f>E75/D75</x:f>
        <x:v>0.86</x:v>
      </x:c>
    </x:row>
    <x:row r="76" ht="40" customHeight="1">
      <x:c r="A76" s="6" t="str">
        <x:v>FW-E019</x:v>
      </x:c>
      <x:c r="B76" s="6" t="str">
        <x:v>Grace Park</x:v>
      </x:c>
      <x:c r="C76" s="7" t="n">
        <x:v>46337</x:v>
      </x:c>
      <x:c r="D76" s="11" t="n">
        <x:v>40</x:v>
      </x:c>
      <x:c r="E76" s="11" t="n">
        <x:f>SUMIFS('Assignments'!$E$2:$E$353,'Assignments'!$A$2:$A$353,A76,'Assignments'!$B$2:$B$353,C76)</x:f>
        <x:v>30.4</x:v>
      </x:c>
      <x:c r="F76" s="11" t="n">
        <x:f>D76-E76</x:f>
        <x:v>9.600000000000001</x:v>
      </x:c>
      <x:c r="G76" s="13" t="n">
        <x:f>E76/D76</x:f>
        <x:v>0.76</x:v>
      </x:c>
    </x:row>
    <x:row r="77" ht="40" customHeight="1">
      <x:c r="A77" s="3" t="str">
        <x:v>FW-E019</x:v>
      </x:c>
      <x:c r="B77" s="3" t="str">
        <x:v>Grace Park</x:v>
      </x:c>
      <x:c r="C77" s="8" t="n">
        <x:v>46367</x:v>
      </x:c>
      <x:c r="D77" s="12" t="n">
        <x:v>40</x:v>
      </x:c>
      <x:c r="E77" s="12" t="n">
        <x:f>SUMIFS('Assignments'!$E$2:$E$353,'Assignments'!$A$2:$A$353,A77,'Assignments'!$B$2:$B$353,C77)</x:f>
        <x:v>28.4</x:v>
      </x:c>
      <x:c r="F77" s="12" t="n">
        <x:f>D77-E77</x:f>
        <x:v>11.600000000000001</x:v>
      </x:c>
      <x:c r="G77" s="14" t="n">
        <x:f>E77/D77</x:f>
        <x:v>0.71</x:v>
      </x:c>
    </x:row>
    <x:row r="78" ht="40" customHeight="1">
      <x:c r="A78" s="6" t="str">
        <x:v>FW-E020</x:v>
      </x:c>
      <x:c r="B78" s="6" t="str">
        <x:v>Leo Morgan</x:v>
      </x:c>
      <x:c r="C78" s="7" t="n">
        <x:v>46277</x:v>
      </x:c>
      <x:c r="D78" s="11" t="n">
        <x:v>40</x:v>
      </x:c>
      <x:c r="E78" s="11" t="n">
        <x:f>SUMIFS('Assignments'!$E$2:$E$353,'Assignments'!$A$2:$A$353,A78,'Assignments'!$B$2:$B$353,C78)</x:f>
        <x:v>33.6</x:v>
      </x:c>
      <x:c r="F78" s="11" t="n">
        <x:f>D78-E78</x:f>
        <x:v>6.399999999999999</x:v>
      </x:c>
      <x:c r="G78" s="13" t="n">
        <x:f>E78/D78</x:f>
        <x:v>0.8400000000000001</x:v>
      </x:c>
    </x:row>
    <x:row r="79" ht="40" customHeight="1">
      <x:c r="A79" s="3" t="str">
        <x:v>FW-E020</x:v>
      </x:c>
      <x:c r="B79" s="3" t="str">
        <x:v>Leo Morgan</x:v>
      </x:c>
      <x:c r="C79" s="8" t="n">
        <x:v>46307</x:v>
      </x:c>
      <x:c r="D79" s="12" t="n">
        <x:v>40</x:v>
      </x:c>
      <x:c r="E79" s="12" t="n">
        <x:f>SUMIFS('Assignments'!$E$2:$E$353,'Assignments'!$A$2:$A$353,A79,'Assignments'!$B$2:$B$353,C79)</x:f>
        <x:v>34.4</x:v>
      </x:c>
      <x:c r="F79" s="12" t="n">
        <x:f>D79-E79</x:f>
        <x:v>5.600000000000001</x:v>
      </x:c>
      <x:c r="G79" s="14" t="n">
        <x:f>E79/D79</x:f>
        <x:v>0.86</x:v>
      </x:c>
    </x:row>
    <x:row r="80" ht="40" customHeight="1">
      <x:c r="A80" s="6" t="str">
        <x:v>FW-E020</x:v>
      </x:c>
      <x:c r="B80" s="6" t="str">
        <x:v>Leo Morgan</x:v>
      </x:c>
      <x:c r="C80" s="7" t="n">
        <x:v>46337</x:v>
      </x:c>
      <x:c r="D80" s="11" t="n">
        <x:v>40</x:v>
      </x:c>
      <x:c r="E80" s="11" t="n">
        <x:f>SUMIFS('Assignments'!$E$2:$E$353,'Assignments'!$A$2:$A$353,A80,'Assignments'!$B$2:$B$353,C80)</x:f>
        <x:v>30.4</x:v>
      </x:c>
      <x:c r="F80" s="11" t="n">
        <x:f>D80-E80</x:f>
        <x:v>9.600000000000001</x:v>
      </x:c>
      <x:c r="G80" s="13" t="n">
        <x:f>E80/D80</x:f>
        <x:v>0.76</x:v>
      </x:c>
    </x:row>
    <x:row r="81" ht="40" customHeight="1">
      <x:c r="A81" s="3" t="str">
        <x:v>FW-E020</x:v>
      </x:c>
      <x:c r="B81" s="3" t="str">
        <x:v>Leo Morgan</x:v>
      </x:c>
      <x:c r="C81" s="8" t="n">
        <x:v>46367</x:v>
      </x:c>
      <x:c r="D81" s="12" t="n">
        <x:v>40</x:v>
      </x:c>
      <x:c r="E81" s="12" t="n">
        <x:f>SUMIFS('Assignments'!$E$2:$E$353,'Assignments'!$A$2:$A$353,A81,'Assignments'!$B$2:$B$353,C81)</x:f>
        <x:v>28.4</x:v>
      </x:c>
      <x:c r="F81" s="12" t="n">
        <x:f>D81-E81</x:f>
        <x:v>11.600000000000001</x:v>
      </x:c>
      <x:c r="G81" s="14" t="n">
        <x:f>E81/D81</x:f>
        <x:v>0.71</x:v>
      </x:c>
    </x:row>
    <x:row r="82" ht="40" customHeight="1">
      <x:c r="A82" s="6" t="str">
        <x:v>FW-E021</x:v>
      </x:c>
      <x:c r="B82" s="6" t="str">
        <x:v>Zoe Mitchell</x:v>
      </x:c>
      <x:c r="C82" s="7" t="n">
        <x:v>46277</x:v>
      </x:c>
      <x:c r="D82" s="11" t="n">
        <x:v>40</x:v>
      </x:c>
      <x:c r="E82" s="11" t="n">
        <x:f>SUMIFS('Assignments'!$E$2:$E$353,'Assignments'!$A$2:$A$353,A82,'Assignments'!$B$2:$B$353,C82)</x:f>
        <x:v>33.6</x:v>
      </x:c>
      <x:c r="F82" s="11" t="n">
        <x:f>D82-E82</x:f>
        <x:v>6.399999999999999</x:v>
      </x:c>
      <x:c r="G82" s="13" t="n">
        <x:f>E82/D82</x:f>
        <x:v>0.8400000000000001</x:v>
      </x:c>
    </x:row>
    <x:row r="83" ht="40" customHeight="1">
      <x:c r="A83" s="3" t="str">
        <x:v>FW-E021</x:v>
      </x:c>
      <x:c r="B83" s="3" t="str">
        <x:v>Zoe Mitchell</x:v>
      </x:c>
      <x:c r="C83" s="8" t="n">
        <x:v>46307</x:v>
      </x:c>
      <x:c r="D83" s="12" t="n">
        <x:v>40</x:v>
      </x:c>
      <x:c r="E83" s="12" t="n">
        <x:f>SUMIFS('Assignments'!$E$2:$E$353,'Assignments'!$A$2:$A$353,A83,'Assignments'!$B$2:$B$353,C83)</x:f>
        <x:v>34.4</x:v>
      </x:c>
      <x:c r="F83" s="12" t="n">
        <x:f>D83-E83</x:f>
        <x:v>5.600000000000001</x:v>
      </x:c>
      <x:c r="G83" s="14" t="n">
        <x:f>E83/D83</x:f>
        <x:v>0.86</x:v>
      </x:c>
    </x:row>
    <x:row r="84" ht="40" customHeight="1">
      <x:c r="A84" s="6" t="str">
        <x:v>FW-E021</x:v>
      </x:c>
      <x:c r="B84" s="6" t="str">
        <x:v>Zoe Mitchell</x:v>
      </x:c>
      <x:c r="C84" s="7" t="n">
        <x:v>46337</x:v>
      </x:c>
      <x:c r="D84" s="11" t="n">
        <x:v>40</x:v>
      </x:c>
      <x:c r="E84" s="11" t="n">
        <x:f>SUMIFS('Assignments'!$E$2:$E$353,'Assignments'!$A$2:$A$353,A84,'Assignments'!$B$2:$B$353,C84)</x:f>
        <x:v>30.4</x:v>
      </x:c>
      <x:c r="F84" s="11" t="n">
        <x:f>D84-E84</x:f>
        <x:v>9.600000000000001</x:v>
      </x:c>
      <x:c r="G84" s="13" t="n">
        <x:f>E84/D84</x:f>
        <x:v>0.76</x:v>
      </x:c>
    </x:row>
    <x:row r="85" ht="40" customHeight="1">
      <x:c r="A85" s="3" t="str">
        <x:v>FW-E021</x:v>
      </x:c>
      <x:c r="B85" s="3" t="str">
        <x:v>Zoe Mitchell</x:v>
      </x:c>
      <x:c r="C85" s="8" t="n">
        <x:v>46367</x:v>
      </x:c>
      <x:c r="D85" s="12" t="n">
        <x:v>40</x:v>
      </x:c>
      <x:c r="E85" s="12" t="n">
        <x:f>SUMIFS('Assignments'!$E$2:$E$353,'Assignments'!$A$2:$A$353,A85,'Assignments'!$B$2:$B$353,C85)</x:f>
        <x:v>28.4</x:v>
      </x:c>
      <x:c r="F85" s="12" t="n">
        <x:f>D85-E85</x:f>
        <x:v>11.600000000000001</x:v>
      </x:c>
      <x:c r="G85" s="14" t="n">
        <x:f>E85/D85</x:f>
        <x:v>0.71</x:v>
      </x:c>
    </x:row>
    <x:row r="86" ht="40" customHeight="1">
      <x:c r="A86" s="6" t="str">
        <x:v>FW-E022</x:v>
      </x:c>
      <x:c r="B86" s="6" t="str">
        <x:v>Adrian Flores</x:v>
      </x:c>
      <x:c r="C86" s="7" t="n">
        <x:v>46277</x:v>
      </x:c>
      <x:c r="D86" s="11" t="n">
        <x:v>40</x:v>
      </x:c>
      <x:c r="E86" s="11" t="n">
        <x:f>SUMIFS('Assignments'!$E$2:$E$353,'Assignments'!$A$2:$A$353,A86,'Assignments'!$B$2:$B$353,C86)</x:f>
        <x:v>33.6</x:v>
      </x:c>
      <x:c r="F86" s="11" t="n">
        <x:f>D86-E86</x:f>
        <x:v>6.399999999999999</x:v>
      </x:c>
      <x:c r="G86" s="13" t="n">
        <x:f>E86/D86</x:f>
        <x:v>0.8400000000000001</x:v>
      </x:c>
    </x:row>
    <x:row r="87" ht="40" customHeight="1">
      <x:c r="A87" s="3" t="str">
        <x:v>FW-E022</x:v>
      </x:c>
      <x:c r="B87" s="3" t="str">
        <x:v>Adrian Flores</x:v>
      </x:c>
      <x:c r="C87" s="8" t="n">
        <x:v>46307</x:v>
      </x:c>
      <x:c r="D87" s="12" t="n">
        <x:v>40</x:v>
      </x:c>
      <x:c r="E87" s="12" t="n">
        <x:f>SUMIFS('Assignments'!$E$2:$E$353,'Assignments'!$A$2:$A$353,A87,'Assignments'!$B$2:$B$353,C87)</x:f>
        <x:v>34.4</x:v>
      </x:c>
      <x:c r="F87" s="12" t="n">
        <x:f>D87-E87</x:f>
        <x:v>5.600000000000001</x:v>
      </x:c>
      <x:c r="G87" s="14" t="n">
        <x:f>E87/D87</x:f>
        <x:v>0.86</x:v>
      </x:c>
    </x:row>
    <x:row r="88" ht="40" customHeight="1">
      <x:c r="A88" s="6" t="str">
        <x:v>FW-E022</x:v>
      </x:c>
      <x:c r="B88" s="6" t="str">
        <x:v>Adrian Flores</x:v>
      </x:c>
      <x:c r="C88" s="7" t="n">
        <x:v>46337</x:v>
      </x:c>
      <x:c r="D88" s="11" t="n">
        <x:v>40</x:v>
      </x:c>
      <x:c r="E88" s="11" t="n">
        <x:f>SUMIFS('Assignments'!$E$2:$E$353,'Assignments'!$A$2:$A$353,A88,'Assignments'!$B$2:$B$353,C88)</x:f>
        <x:v>30.4</x:v>
      </x:c>
      <x:c r="F88" s="11" t="n">
        <x:f>D88-E88</x:f>
        <x:v>9.600000000000001</x:v>
      </x:c>
      <x:c r="G88" s="13" t="n">
        <x:f>E88/D88</x:f>
        <x:v>0.76</x:v>
      </x:c>
    </x:row>
    <x:row r="89" ht="40" customHeight="1">
      <x:c r="A89" s="3" t="str">
        <x:v>FW-E022</x:v>
      </x:c>
      <x:c r="B89" s="3" t="str">
        <x:v>Adrian Flores</x:v>
      </x:c>
      <x:c r="C89" s="8" t="n">
        <x:v>46367</x:v>
      </x:c>
      <x:c r="D89" s="12" t="n">
        <x:v>40</x:v>
      </x:c>
      <x:c r="E89" s="12" t="n">
        <x:f>SUMIFS('Assignments'!$E$2:$E$353,'Assignments'!$A$2:$A$353,A89,'Assignments'!$B$2:$B$353,C89)</x:f>
        <x:v>28.4</x:v>
      </x:c>
      <x:c r="F89" s="12" t="n">
        <x:f>D89-E89</x:f>
        <x:v>11.600000000000001</x:v>
      </x:c>
      <x:c r="G89" s="14" t="n">
        <x:f>E89/D89</x:f>
        <x:v>0.71</x:v>
      </x:c>
    </x:row>
    <x:row r="90" ht="40" customHeight="1">
      <x:c r="A90" s="6" t="str">
        <x:v>FW-E023</x:v>
      </x:c>
      <x:c r="B90" s="6" t="str">
        <x:v>Lily Turner</x:v>
      </x:c>
      <x:c r="C90" s="7" t="n">
        <x:v>46277</x:v>
      </x:c>
      <x:c r="D90" s="11" t="n">
        <x:v>40</x:v>
      </x:c>
      <x:c r="E90" s="11" t="n">
        <x:f>SUMIFS('Assignments'!$E$2:$E$353,'Assignments'!$A$2:$A$353,A90,'Assignments'!$B$2:$B$353,C90)</x:f>
        <x:v>33.6</x:v>
      </x:c>
      <x:c r="F90" s="11" t="n">
        <x:f>D90-E90</x:f>
        <x:v>6.399999999999999</x:v>
      </x:c>
      <x:c r="G90" s="13" t="n">
        <x:f>E90/D90</x:f>
        <x:v>0.8400000000000001</x:v>
      </x:c>
    </x:row>
    <x:row r="91" ht="40" customHeight="1">
      <x:c r="A91" s="3" t="str">
        <x:v>FW-E023</x:v>
      </x:c>
      <x:c r="B91" s="3" t="str">
        <x:v>Lily Turner</x:v>
      </x:c>
      <x:c r="C91" s="8" t="n">
        <x:v>46307</x:v>
      </x:c>
      <x:c r="D91" s="12" t="n">
        <x:v>40</x:v>
      </x:c>
      <x:c r="E91" s="12" t="n">
        <x:f>SUMIFS('Assignments'!$E$2:$E$353,'Assignments'!$A$2:$A$353,A91,'Assignments'!$B$2:$B$353,C91)</x:f>
        <x:v>34.4</x:v>
      </x:c>
      <x:c r="F91" s="12" t="n">
        <x:f>D91-E91</x:f>
        <x:v>5.600000000000001</x:v>
      </x:c>
      <x:c r="G91" s="14" t="n">
        <x:f>E91/D91</x:f>
        <x:v>0.86</x:v>
      </x:c>
    </x:row>
    <x:row r="92" ht="40" customHeight="1">
      <x:c r="A92" s="6" t="str">
        <x:v>FW-E023</x:v>
      </x:c>
      <x:c r="B92" s="6" t="str">
        <x:v>Lily Turner</x:v>
      </x:c>
      <x:c r="C92" s="7" t="n">
        <x:v>46337</x:v>
      </x:c>
      <x:c r="D92" s="11" t="n">
        <x:v>40</x:v>
      </x:c>
      <x:c r="E92" s="11" t="n">
        <x:f>SUMIFS('Assignments'!$E$2:$E$353,'Assignments'!$A$2:$A$353,A92,'Assignments'!$B$2:$B$353,C92)</x:f>
        <x:v>30.4</x:v>
      </x:c>
      <x:c r="F92" s="11" t="n">
        <x:f>D92-E92</x:f>
        <x:v>9.600000000000001</x:v>
      </x:c>
      <x:c r="G92" s="13" t="n">
        <x:f>E92/D92</x:f>
        <x:v>0.76</x:v>
      </x:c>
    </x:row>
    <x:row r="93" ht="40" customHeight="1">
      <x:c r="A93" s="3" t="str">
        <x:v>FW-E023</x:v>
      </x:c>
      <x:c r="B93" s="3" t="str">
        <x:v>Lily Turner</x:v>
      </x:c>
      <x:c r="C93" s="8" t="n">
        <x:v>46367</x:v>
      </x:c>
      <x:c r="D93" s="12" t="n">
        <x:v>40</x:v>
      </x:c>
      <x:c r="E93" s="12" t="n">
        <x:f>SUMIFS('Assignments'!$E$2:$E$353,'Assignments'!$A$2:$A$353,A93,'Assignments'!$B$2:$B$353,C93)</x:f>
        <x:v>28.4</x:v>
      </x:c>
      <x:c r="F93" s="12" t="n">
        <x:f>D93-E93</x:f>
        <x:v>11.600000000000001</x:v>
      </x:c>
      <x:c r="G93" s="14" t="n">
        <x:f>E93/D93</x:f>
        <x:v>0.71</x:v>
      </x:c>
    </x:row>
    <x:row r="94" ht="40" customHeight="1">
      <x:c r="A94" s="6" t="str">
        <x:v>FW-E024</x:v>
      </x:c>
      <x:c r="B94" s="6" t="str">
        <x:v>Gabriel Ross</x:v>
      </x:c>
      <x:c r="C94" s="7" t="n">
        <x:v>46277</x:v>
      </x:c>
      <x:c r="D94" s="11" t="n">
        <x:v>40</x:v>
      </x:c>
      <x:c r="E94" s="11" t="n">
        <x:f>SUMIFS('Assignments'!$E$2:$E$353,'Assignments'!$A$2:$A$353,A94,'Assignments'!$B$2:$B$353,C94)</x:f>
        <x:v>33.6</x:v>
      </x:c>
      <x:c r="F94" s="11" t="n">
        <x:f>D94-E94</x:f>
        <x:v>6.399999999999999</x:v>
      </x:c>
      <x:c r="G94" s="13" t="n">
        <x:f>E94/D94</x:f>
        <x:v>0.8400000000000001</x:v>
      </x:c>
    </x:row>
    <x:row r="95" ht="40" customHeight="1">
      <x:c r="A95" s="3" t="str">
        <x:v>FW-E024</x:v>
      </x:c>
      <x:c r="B95" s="3" t="str">
        <x:v>Gabriel Ross</x:v>
      </x:c>
      <x:c r="C95" s="8" t="n">
        <x:v>46307</x:v>
      </x:c>
      <x:c r="D95" s="12" t="n">
        <x:v>40</x:v>
      </x:c>
      <x:c r="E95" s="12" t="n">
        <x:f>SUMIFS('Assignments'!$E$2:$E$353,'Assignments'!$A$2:$A$353,A95,'Assignments'!$B$2:$B$353,C95)</x:f>
        <x:v>34.4</x:v>
      </x:c>
      <x:c r="F95" s="12" t="n">
        <x:f>D95-E95</x:f>
        <x:v>5.600000000000001</x:v>
      </x:c>
      <x:c r="G95" s="14" t="n">
        <x:f>E95/D95</x:f>
        <x:v>0.86</x:v>
      </x:c>
    </x:row>
    <x:row r="96" ht="40" customHeight="1">
      <x:c r="A96" s="6" t="str">
        <x:v>FW-E024</x:v>
      </x:c>
      <x:c r="B96" s="6" t="str">
        <x:v>Gabriel Ross</x:v>
      </x:c>
      <x:c r="C96" s="7" t="n">
        <x:v>46337</x:v>
      </x:c>
      <x:c r="D96" s="11" t="n">
        <x:v>40</x:v>
      </x:c>
      <x:c r="E96" s="11" t="n">
        <x:f>SUMIFS('Assignments'!$E$2:$E$353,'Assignments'!$A$2:$A$353,A96,'Assignments'!$B$2:$B$353,C96)</x:f>
        <x:v>30.4</x:v>
      </x:c>
      <x:c r="F96" s="11" t="n">
        <x:f>D96-E96</x:f>
        <x:v>9.600000000000001</x:v>
      </x:c>
      <x:c r="G96" s="13" t="n">
        <x:f>E96/D96</x:f>
        <x:v>0.76</x:v>
      </x:c>
    </x:row>
    <x:row r="97" ht="40" customHeight="1">
      <x:c r="A97" s="3" t="str">
        <x:v>FW-E024</x:v>
      </x:c>
      <x:c r="B97" s="3" t="str">
        <x:v>Gabriel Ross</x:v>
      </x:c>
      <x:c r="C97" s="8" t="n">
        <x:v>46367</x:v>
      </x:c>
      <x:c r="D97" s="12" t="n">
        <x:v>40</x:v>
      </x:c>
      <x:c r="E97" s="12" t="n">
        <x:f>SUMIFS('Assignments'!$E$2:$E$353,'Assignments'!$A$2:$A$353,A97,'Assignments'!$B$2:$B$353,C97)</x:f>
        <x:v>28.4</x:v>
      </x:c>
      <x:c r="F97" s="12" t="n">
        <x:f>D97-E97</x:f>
        <x:v>11.600000000000001</x:v>
      </x:c>
      <x:c r="G97" s="14" t="n">
        <x:f>E97/D97</x:f>
        <x:v>0.71</x:v>
      </x:c>
    </x:row>
    <x:row r="98" ht="40" customHeight="1">
      <x:c r="A98" s="6" t="str">
        <x:v>FW-E025</x:v>
      </x:c>
      <x:c r="B98" s="6" t="str">
        <x:v>Nora Wallace</x:v>
      </x:c>
      <x:c r="C98" s="7" t="n">
        <x:v>46277</x:v>
      </x:c>
      <x:c r="D98" s="11" t="n">
        <x:v>40</x:v>
      </x:c>
      <x:c r="E98" s="11" t="n">
        <x:f>SUMIFS('Assignments'!$E$2:$E$353,'Assignments'!$A$2:$A$353,A98,'Assignments'!$B$2:$B$353,C98)</x:f>
        <x:v>33.6</x:v>
      </x:c>
      <x:c r="F98" s="11" t="n">
        <x:f>D98-E98</x:f>
        <x:v>6.399999999999999</x:v>
      </x:c>
      <x:c r="G98" s="13" t="n">
        <x:f>E98/D98</x:f>
        <x:v>0.8400000000000001</x:v>
      </x:c>
    </x:row>
    <x:row r="99" ht="40" customHeight="1">
      <x:c r="A99" s="3" t="str">
        <x:v>FW-E025</x:v>
      </x:c>
      <x:c r="B99" s="3" t="str">
        <x:v>Nora Wallace</x:v>
      </x:c>
      <x:c r="C99" s="8" t="n">
        <x:v>46307</x:v>
      </x:c>
      <x:c r="D99" s="12" t="n">
        <x:v>40</x:v>
      </x:c>
      <x:c r="E99" s="12" t="n">
        <x:f>SUMIFS('Assignments'!$E$2:$E$353,'Assignments'!$A$2:$A$353,A99,'Assignments'!$B$2:$B$353,C99)</x:f>
        <x:v>34.4</x:v>
      </x:c>
      <x:c r="F99" s="12" t="n">
        <x:f>D99-E99</x:f>
        <x:v>5.600000000000001</x:v>
      </x:c>
      <x:c r="G99" s="14" t="n">
        <x:f>E99/D99</x:f>
        <x:v>0.86</x:v>
      </x:c>
    </x:row>
    <x:row r="100" ht="40" customHeight="1">
      <x:c r="A100" s="6" t="str">
        <x:v>FW-E025</x:v>
      </x:c>
      <x:c r="B100" s="6" t="str">
        <x:v>Nora Wallace</x:v>
      </x:c>
      <x:c r="C100" s="7" t="n">
        <x:v>46337</x:v>
      </x:c>
      <x:c r="D100" s="11" t="n">
        <x:v>40</x:v>
      </x:c>
      <x:c r="E100" s="11" t="n">
        <x:f>SUMIFS('Assignments'!$E$2:$E$353,'Assignments'!$A$2:$A$353,A100,'Assignments'!$B$2:$B$353,C100)</x:f>
        <x:v>30.4</x:v>
      </x:c>
      <x:c r="F100" s="11" t="n">
        <x:f>D100-E100</x:f>
        <x:v>9.600000000000001</x:v>
      </x:c>
      <x:c r="G100" s="13" t="n">
        <x:f>E100/D100</x:f>
        <x:v>0.76</x:v>
      </x:c>
    </x:row>
    <x:row r="101" ht="40" customHeight="1">
      <x:c r="A101" s="3" t="str">
        <x:v>FW-E025</x:v>
      </x:c>
      <x:c r="B101" s="3" t="str">
        <x:v>Nora Wallace</x:v>
      </x:c>
      <x:c r="C101" s="8" t="n">
        <x:v>46367</x:v>
      </x:c>
      <x:c r="D101" s="12" t="n">
        <x:v>40</x:v>
      </x:c>
      <x:c r="E101" s="12" t="n">
        <x:f>SUMIFS('Assignments'!$E$2:$E$353,'Assignments'!$A$2:$A$353,A101,'Assignments'!$B$2:$B$353,C101)</x:f>
        <x:v>28.4</x:v>
      </x:c>
      <x:c r="F101" s="12" t="n">
        <x:f>D101-E101</x:f>
        <x:v>11.600000000000001</x:v>
      </x:c>
      <x:c r="G101" s="14" t="n">
        <x:f>E101/D101</x:f>
        <x:v>0.71</x:v>
      </x:c>
    </x:row>
    <x:row r="102" ht="40" customHeight="1">
      <x:c r="A102" s="6" t="str">
        <x:v>FW-E026</x:v>
      </x:c>
      <x:c r="B102" s="6" t="str">
        <x:v>Caleb Hughes</x:v>
      </x:c>
      <x:c r="C102" s="7" t="n">
        <x:v>46277</x:v>
      </x:c>
      <x:c r="D102" s="11" t="n">
        <x:v>40</x:v>
      </x:c>
      <x:c r="E102" s="11" t="n">
        <x:f>SUMIFS('Assignments'!$E$2:$E$353,'Assignments'!$A$2:$A$353,A102,'Assignments'!$B$2:$B$353,C102)</x:f>
        <x:v>33.6</x:v>
      </x:c>
      <x:c r="F102" s="11" t="n">
        <x:f>D102-E102</x:f>
        <x:v>6.399999999999999</x:v>
      </x:c>
      <x:c r="G102" s="13" t="n">
        <x:f>E102/D102</x:f>
        <x:v>0.8400000000000001</x:v>
      </x:c>
    </x:row>
    <x:row r="103" ht="40" customHeight="1">
      <x:c r="A103" s="3" t="str">
        <x:v>FW-E026</x:v>
      </x:c>
      <x:c r="B103" s="3" t="str">
        <x:v>Caleb Hughes</x:v>
      </x:c>
      <x:c r="C103" s="8" t="n">
        <x:v>46307</x:v>
      </x:c>
      <x:c r="D103" s="12" t="n">
        <x:v>40</x:v>
      </x:c>
      <x:c r="E103" s="12" t="n">
        <x:f>SUMIFS('Assignments'!$E$2:$E$353,'Assignments'!$A$2:$A$353,A103,'Assignments'!$B$2:$B$353,C103)</x:f>
        <x:v>34.4</x:v>
      </x:c>
      <x:c r="F103" s="12" t="n">
        <x:f>D103-E103</x:f>
        <x:v>5.600000000000001</x:v>
      </x:c>
      <x:c r="G103" s="14" t="n">
        <x:f>E103/D103</x:f>
        <x:v>0.86</x:v>
      </x:c>
    </x:row>
    <x:row r="104" ht="40" customHeight="1">
      <x:c r="A104" s="6" t="str">
        <x:v>FW-E026</x:v>
      </x:c>
      <x:c r="B104" s="6" t="str">
        <x:v>Caleb Hughes</x:v>
      </x:c>
      <x:c r="C104" s="7" t="n">
        <x:v>46337</x:v>
      </x:c>
      <x:c r="D104" s="11" t="n">
        <x:v>40</x:v>
      </x:c>
      <x:c r="E104" s="11" t="n">
        <x:f>SUMIFS('Assignments'!$E$2:$E$353,'Assignments'!$A$2:$A$353,A104,'Assignments'!$B$2:$B$353,C104)</x:f>
        <x:v>30.4</x:v>
      </x:c>
      <x:c r="F104" s="11" t="n">
        <x:f>D104-E104</x:f>
        <x:v>9.600000000000001</x:v>
      </x:c>
      <x:c r="G104" s="13" t="n">
        <x:f>E104/D104</x:f>
        <x:v>0.76</x:v>
      </x:c>
    </x:row>
    <x:row r="105" ht="40" customHeight="1">
      <x:c r="A105" s="3" t="str">
        <x:v>FW-E026</x:v>
      </x:c>
      <x:c r="B105" s="3" t="str">
        <x:v>Caleb Hughes</x:v>
      </x:c>
      <x:c r="C105" s="8" t="n">
        <x:v>46367</x:v>
      </x:c>
      <x:c r="D105" s="12" t="n">
        <x:v>40</x:v>
      </x:c>
      <x:c r="E105" s="12" t="n">
        <x:f>SUMIFS('Assignments'!$E$2:$E$353,'Assignments'!$A$2:$A$353,A105,'Assignments'!$B$2:$B$353,C105)</x:f>
        <x:v>28.4</x:v>
      </x:c>
      <x:c r="F105" s="12" t="n">
        <x:f>D105-E105</x:f>
        <x:v>11.600000000000001</x:v>
      </x:c>
      <x:c r="G105" s="14" t="n">
        <x:f>E105/D105</x:f>
        <x:v>0.71</x:v>
      </x:c>
    </x:row>
    <x:row r="106" ht="40" customHeight="1">
      <x:c r="A106" s="6" t="str">
        <x:v>FW-E027</x:v>
      </x:c>
      <x:c r="B106" s="6" t="str">
        <x:v>Stella Cruz</x:v>
      </x:c>
      <x:c r="C106" s="7" t="n">
        <x:v>46277</x:v>
      </x:c>
      <x:c r="D106" s="11" t="n">
        <x:v>40</x:v>
      </x:c>
      <x:c r="E106" s="11" t="n">
        <x:f>SUMIFS('Assignments'!$E$2:$E$353,'Assignments'!$A$2:$A$353,A106,'Assignments'!$B$2:$B$353,C106)</x:f>
        <x:v>33.6</x:v>
      </x:c>
      <x:c r="F106" s="11" t="n">
        <x:f>D106-E106</x:f>
        <x:v>6.399999999999999</x:v>
      </x:c>
      <x:c r="G106" s="13" t="n">
        <x:f>E106/D106</x:f>
        <x:v>0.8400000000000001</x:v>
      </x:c>
    </x:row>
    <x:row r="107" ht="40" customHeight="1">
      <x:c r="A107" s="3" t="str">
        <x:v>FW-E027</x:v>
      </x:c>
      <x:c r="B107" s="3" t="str">
        <x:v>Stella Cruz</x:v>
      </x:c>
      <x:c r="C107" s="8" t="n">
        <x:v>46307</x:v>
      </x:c>
      <x:c r="D107" s="12" t="n">
        <x:v>40</x:v>
      </x:c>
      <x:c r="E107" s="12" t="n">
        <x:f>SUMIFS('Assignments'!$E$2:$E$353,'Assignments'!$A$2:$A$353,A107,'Assignments'!$B$2:$B$353,C107)</x:f>
        <x:v>34.4</x:v>
      </x:c>
      <x:c r="F107" s="12" t="n">
        <x:f>D107-E107</x:f>
        <x:v>5.600000000000001</x:v>
      </x:c>
      <x:c r="G107" s="14" t="n">
        <x:f>E107/D107</x:f>
        <x:v>0.86</x:v>
      </x:c>
    </x:row>
    <x:row r="108" ht="40" customHeight="1">
      <x:c r="A108" s="6" t="str">
        <x:v>FW-E027</x:v>
      </x:c>
      <x:c r="B108" s="6" t="str">
        <x:v>Stella Cruz</x:v>
      </x:c>
      <x:c r="C108" s="7" t="n">
        <x:v>46337</x:v>
      </x:c>
      <x:c r="D108" s="11" t="n">
        <x:v>40</x:v>
      </x:c>
      <x:c r="E108" s="11" t="n">
        <x:f>SUMIFS('Assignments'!$E$2:$E$353,'Assignments'!$A$2:$A$353,A108,'Assignments'!$B$2:$B$353,C108)</x:f>
        <x:v>30.4</x:v>
      </x:c>
      <x:c r="F108" s="11" t="n">
        <x:f>D108-E108</x:f>
        <x:v>9.600000000000001</x:v>
      </x:c>
      <x:c r="G108" s="13" t="n">
        <x:f>E108/D108</x:f>
        <x:v>0.76</x:v>
      </x:c>
    </x:row>
    <x:row r="109" ht="40" customHeight="1">
      <x:c r="A109" s="3" t="str">
        <x:v>FW-E027</x:v>
      </x:c>
      <x:c r="B109" s="3" t="str">
        <x:v>Stella Cruz</x:v>
      </x:c>
      <x:c r="C109" s="8" t="n">
        <x:v>46367</x:v>
      </x:c>
      <x:c r="D109" s="12" t="n">
        <x:v>40</x:v>
      </x:c>
      <x:c r="E109" s="12" t="n">
        <x:f>SUMIFS('Assignments'!$E$2:$E$353,'Assignments'!$A$2:$A$353,A109,'Assignments'!$B$2:$B$353,C109)</x:f>
        <x:v>28.4</x:v>
      </x:c>
      <x:c r="F109" s="12" t="n">
        <x:f>D109-E109</x:f>
        <x:v>11.600000000000001</x:v>
      </x:c>
      <x:c r="G109" s="14" t="n">
        <x:f>E109/D109</x:f>
        <x:v>0.71</x:v>
      </x:c>
    </x:row>
    <x:row r="110" ht="40" customHeight="1">
      <x:c r="A110" s="6" t="str">
        <x:v>FW-E028</x:v>
      </x:c>
      <x:c r="B110" s="6" t="str">
        <x:v>Isaac Bell</x:v>
      </x:c>
      <x:c r="C110" s="7" t="n">
        <x:v>46277</x:v>
      </x:c>
      <x:c r="D110" s="11" t="n">
        <x:v>40</x:v>
      </x:c>
      <x:c r="E110" s="11" t="n">
        <x:f>SUMIFS('Assignments'!$E$2:$E$353,'Assignments'!$A$2:$A$353,A110,'Assignments'!$B$2:$B$353,C110)</x:f>
        <x:v>33.6</x:v>
      </x:c>
      <x:c r="F110" s="11" t="n">
        <x:f>D110-E110</x:f>
        <x:v>6.399999999999999</x:v>
      </x:c>
      <x:c r="G110" s="13" t="n">
        <x:f>E110/D110</x:f>
        <x:v>0.8400000000000001</x:v>
      </x:c>
    </x:row>
    <x:row r="111" ht="40" customHeight="1">
      <x:c r="A111" s="3" t="str">
        <x:v>FW-E028</x:v>
      </x:c>
      <x:c r="B111" s="3" t="str">
        <x:v>Isaac Bell</x:v>
      </x:c>
      <x:c r="C111" s="8" t="n">
        <x:v>46307</x:v>
      </x:c>
      <x:c r="D111" s="12" t="n">
        <x:v>40</x:v>
      </x:c>
      <x:c r="E111" s="12" t="n">
        <x:f>SUMIFS('Assignments'!$E$2:$E$353,'Assignments'!$A$2:$A$353,A111,'Assignments'!$B$2:$B$353,C111)</x:f>
        <x:v>34.4</x:v>
      </x:c>
      <x:c r="F111" s="12" t="n">
        <x:f>D111-E111</x:f>
        <x:v>5.600000000000001</x:v>
      </x:c>
      <x:c r="G111" s="14" t="n">
        <x:f>E111/D111</x:f>
        <x:v>0.86</x:v>
      </x:c>
    </x:row>
    <x:row r="112" ht="40" customHeight="1">
      <x:c r="A112" s="6" t="str">
        <x:v>FW-E028</x:v>
      </x:c>
      <x:c r="B112" s="6" t="str">
        <x:v>Isaac Bell</x:v>
      </x:c>
      <x:c r="C112" s="7" t="n">
        <x:v>46337</x:v>
      </x:c>
      <x:c r="D112" s="11" t="n">
        <x:v>40</x:v>
      </x:c>
      <x:c r="E112" s="11" t="n">
        <x:f>SUMIFS('Assignments'!$E$2:$E$353,'Assignments'!$A$2:$A$353,A112,'Assignments'!$B$2:$B$353,C112)</x:f>
        <x:v>30.4</x:v>
      </x:c>
      <x:c r="F112" s="11" t="n">
        <x:f>D112-E112</x:f>
        <x:v>9.600000000000001</x:v>
      </x:c>
      <x:c r="G112" s="13" t="n">
        <x:f>E112/D112</x:f>
        <x:v>0.76</x:v>
      </x:c>
    </x:row>
    <x:row r="113" ht="40" customHeight="1">
      <x:c r="A113" s="3" t="str">
        <x:v>FW-E028</x:v>
      </x:c>
      <x:c r="B113" s="3" t="str">
        <x:v>Isaac Bell</x:v>
      </x:c>
      <x:c r="C113" s="8" t="n">
        <x:v>46367</x:v>
      </x:c>
      <x:c r="D113" s="12" t="n">
        <x:v>40</x:v>
      </x:c>
      <x:c r="E113" s="12" t="n">
        <x:f>SUMIFS('Assignments'!$E$2:$E$353,'Assignments'!$A$2:$A$353,A113,'Assignments'!$B$2:$B$353,C113)</x:f>
        <x:v>28.4</x:v>
      </x:c>
      <x:c r="F113" s="12" t="n">
        <x:f>D113-E113</x:f>
        <x:v>11.600000000000001</x:v>
      </x:c>
      <x:c r="G113" s="14" t="n">
        <x:f>E113/D113</x:f>
        <x:v>0.71</x:v>
      </x:c>
    </x:row>
    <x:row r="114" ht="40" customHeight="1">
      <x:c r="A114" s="6" t="str">
        <x:v>FW-E029</x:v>
      </x:c>
      <x:c r="B114" s="6" t="str">
        <x:v>Leah Watson</x:v>
      </x:c>
      <x:c r="C114" s="7" t="n">
        <x:v>46277</x:v>
      </x:c>
      <x:c r="D114" s="11" t="n">
        <x:v>40</x:v>
      </x:c>
      <x:c r="E114" s="11" t="n">
        <x:f>SUMIFS('Assignments'!$E$2:$E$353,'Assignments'!$A$2:$A$353,A114,'Assignments'!$B$2:$B$353,C114)</x:f>
        <x:v>33.6</x:v>
      </x:c>
      <x:c r="F114" s="11" t="n">
        <x:f>D114-E114</x:f>
        <x:v>6.399999999999999</x:v>
      </x:c>
      <x:c r="G114" s="13" t="n">
        <x:f>E114/D114</x:f>
        <x:v>0.8400000000000001</x:v>
      </x:c>
    </x:row>
    <x:row r="115" ht="40" customHeight="1">
      <x:c r="A115" s="3" t="str">
        <x:v>FW-E029</x:v>
      </x:c>
      <x:c r="B115" s="3" t="str">
        <x:v>Leah Watson</x:v>
      </x:c>
      <x:c r="C115" s="8" t="n">
        <x:v>46307</x:v>
      </x:c>
      <x:c r="D115" s="12" t="n">
        <x:v>40</x:v>
      </x:c>
      <x:c r="E115" s="12" t="n">
        <x:f>SUMIFS('Assignments'!$E$2:$E$353,'Assignments'!$A$2:$A$353,A115,'Assignments'!$B$2:$B$353,C115)</x:f>
        <x:v>34.4</x:v>
      </x:c>
      <x:c r="F115" s="12" t="n">
        <x:f>D115-E115</x:f>
        <x:v>5.600000000000001</x:v>
      </x:c>
      <x:c r="G115" s="14" t="n">
        <x:f>E115/D115</x:f>
        <x:v>0.86</x:v>
      </x:c>
    </x:row>
    <x:row r="116" ht="40" customHeight="1">
      <x:c r="A116" s="6" t="str">
        <x:v>FW-E029</x:v>
      </x:c>
      <x:c r="B116" s="6" t="str">
        <x:v>Leah Watson</x:v>
      </x:c>
      <x:c r="C116" s="7" t="n">
        <x:v>46337</x:v>
      </x:c>
      <x:c r="D116" s="11" t="n">
        <x:v>40</x:v>
      </x:c>
      <x:c r="E116" s="11" t="n">
        <x:f>SUMIFS('Assignments'!$E$2:$E$353,'Assignments'!$A$2:$A$353,A116,'Assignments'!$B$2:$B$353,C116)</x:f>
        <x:v>30</x:v>
      </x:c>
      <x:c r="F116" s="11" t="n">
        <x:f>D116-E116</x:f>
        <x:v>10</x:v>
      </x:c>
      <x:c r="G116" s="13" t="n">
        <x:f>E116/D116</x:f>
        <x:v>0.75</x:v>
      </x:c>
    </x:row>
    <x:row r="117" ht="40" customHeight="1">
      <x:c r="A117" s="3" t="str">
        <x:v>FW-E029</x:v>
      </x:c>
      <x:c r="B117" s="3" t="str">
        <x:v>Leah Watson</x:v>
      </x:c>
      <x:c r="C117" s="8" t="n">
        <x:v>46367</x:v>
      </x:c>
      <x:c r="D117" s="12" t="n">
        <x:v>40</x:v>
      </x:c>
      <x:c r="E117" s="12" t="n">
        <x:f>SUMIFS('Assignments'!$E$2:$E$353,'Assignments'!$A$2:$A$353,A117,'Assignments'!$B$2:$B$353,C117)</x:f>
        <x:v>28</x:v>
      </x:c>
      <x:c r="F117" s="12" t="n">
        <x:f>D117-E117</x:f>
        <x:v>12</x:v>
      </x:c>
      <x:c r="G117" s="14" t="n">
        <x:f>E117/D117</x:f>
        <x:v>0.7</x:v>
      </x:c>
    </x:row>
    <x:row r="118" ht="40" customHeight="1">
      <x:c r="A118" s="6" t="str">
        <x:v>FW-E030</x:v>
      </x:c>
      <x:c r="B118" s="6" t="str">
        <x:v>Julian Rivera</x:v>
      </x:c>
      <x:c r="C118" s="7" t="n">
        <x:v>46277</x:v>
      </x:c>
      <x:c r="D118" s="11" t="n">
        <x:v>40</x:v>
      </x:c>
      <x:c r="E118" s="11" t="n">
        <x:f>SUMIFS('Assignments'!$E$2:$E$353,'Assignments'!$A$2:$A$353,A118,'Assignments'!$B$2:$B$353,C118)</x:f>
        <x:v>33.6</x:v>
      </x:c>
      <x:c r="F118" s="11" t="n">
        <x:f>D118-E118</x:f>
        <x:v>6.399999999999999</x:v>
      </x:c>
      <x:c r="G118" s="13" t="n">
        <x:f>E118/D118</x:f>
        <x:v>0.8400000000000001</x:v>
      </x:c>
    </x:row>
    <x:row r="119" ht="40" customHeight="1">
      <x:c r="A119" s="3" t="str">
        <x:v>FW-E030</x:v>
      </x:c>
      <x:c r="B119" s="3" t="str">
        <x:v>Julian Rivera</x:v>
      </x:c>
      <x:c r="C119" s="8" t="n">
        <x:v>46307</x:v>
      </x:c>
      <x:c r="D119" s="12" t="n">
        <x:v>40</x:v>
      </x:c>
      <x:c r="E119" s="12" t="n">
        <x:f>SUMIFS('Assignments'!$E$2:$E$353,'Assignments'!$A$2:$A$353,A119,'Assignments'!$B$2:$B$353,C119)</x:f>
        <x:v>34.4</x:v>
      </x:c>
      <x:c r="F119" s="12" t="n">
        <x:f>D119-E119</x:f>
        <x:v>5.600000000000001</x:v>
      </x:c>
      <x:c r="G119" s="14" t="n">
        <x:f>E119/D119</x:f>
        <x:v>0.86</x:v>
      </x:c>
    </x:row>
    <x:row r="120" ht="40" customHeight="1">
      <x:c r="A120" s="6" t="str">
        <x:v>FW-E030</x:v>
      </x:c>
      <x:c r="B120" s="6" t="str">
        <x:v>Julian Rivera</x:v>
      </x:c>
      <x:c r="C120" s="7" t="n">
        <x:v>46337</x:v>
      </x:c>
      <x:c r="D120" s="11" t="n">
        <x:v>40</x:v>
      </x:c>
      <x:c r="E120" s="11" t="n">
        <x:f>SUMIFS('Assignments'!$E$2:$E$353,'Assignments'!$A$2:$A$353,A120,'Assignments'!$B$2:$B$353,C120)</x:f>
        <x:v>30</x:v>
      </x:c>
      <x:c r="F120" s="11" t="n">
        <x:f>D120-E120</x:f>
        <x:v>10</x:v>
      </x:c>
      <x:c r="G120" s="13" t="n">
        <x:f>E120/D120</x:f>
        <x:v>0.75</x:v>
      </x:c>
    </x:row>
    <x:row r="121" ht="40" customHeight="1">
      <x:c r="A121" s="3" t="str">
        <x:v>FW-E030</x:v>
      </x:c>
      <x:c r="B121" s="3" t="str">
        <x:v>Julian Rivera</x:v>
      </x:c>
      <x:c r="C121" s="8" t="n">
        <x:v>46367</x:v>
      </x:c>
      <x:c r="D121" s="12" t="n">
        <x:v>40</x:v>
      </x:c>
      <x:c r="E121" s="12" t="n">
        <x:f>SUMIFS('Assignments'!$E$2:$E$353,'Assignments'!$A$2:$A$353,A121,'Assignments'!$B$2:$B$353,C121)</x:f>
        <x:v>28</x:v>
      </x:c>
      <x:c r="F121" s="12" t="n">
        <x:f>D121-E121</x:f>
        <x:v>12</x:v>
      </x:c>
      <x:c r="G121" s="14" t="n">
        <x:f>E121/D121</x:f>
        <x:v>0.7</x:v>
      </x:c>
    </x:row>
    <x:row r="122" ht="40" customHeight="1">
      <x:c r="A122" s="6" t="str">
        <x:v>FW-E031</x:v>
      </x:c>
      <x:c r="B122" s="6" t="str">
        <x:v>Audrey Scott</x:v>
      </x:c>
      <x:c r="C122" s="7" t="n">
        <x:v>46277</x:v>
      </x:c>
      <x:c r="D122" s="11" t="n">
        <x:v>40</x:v>
      </x:c>
      <x:c r="E122" s="11" t="n">
        <x:f>SUMIFS('Assignments'!$E$2:$E$353,'Assignments'!$A$2:$A$353,A122,'Assignments'!$B$2:$B$353,C122)</x:f>
        <x:v>33.6</x:v>
      </x:c>
      <x:c r="F122" s="11" t="n">
        <x:f>D122-E122</x:f>
        <x:v>6.399999999999999</x:v>
      </x:c>
      <x:c r="G122" s="13" t="n">
        <x:f>E122/D122</x:f>
        <x:v>0.8400000000000001</x:v>
      </x:c>
    </x:row>
    <x:row r="123" ht="40" customHeight="1">
      <x:c r="A123" s="3" t="str">
        <x:v>FW-E031</x:v>
      </x:c>
      <x:c r="B123" s="3" t="str">
        <x:v>Audrey Scott</x:v>
      </x:c>
      <x:c r="C123" s="8" t="n">
        <x:v>46307</x:v>
      </x:c>
      <x:c r="D123" s="12" t="n">
        <x:v>40</x:v>
      </x:c>
      <x:c r="E123" s="12" t="n">
        <x:f>SUMIFS('Assignments'!$E$2:$E$353,'Assignments'!$A$2:$A$353,A123,'Assignments'!$B$2:$B$353,C123)</x:f>
        <x:v>34.4</x:v>
      </x:c>
      <x:c r="F123" s="12" t="n">
        <x:f>D123-E123</x:f>
        <x:v>5.600000000000001</x:v>
      </x:c>
      <x:c r="G123" s="14" t="n">
        <x:f>E123/D123</x:f>
        <x:v>0.86</x:v>
      </x:c>
    </x:row>
    <x:row r="124" ht="40" customHeight="1">
      <x:c r="A124" s="6" t="str">
        <x:v>FW-E031</x:v>
      </x:c>
      <x:c r="B124" s="6" t="str">
        <x:v>Audrey Scott</x:v>
      </x:c>
      <x:c r="C124" s="7" t="n">
        <x:v>46337</x:v>
      </x:c>
      <x:c r="D124" s="11" t="n">
        <x:v>40</x:v>
      </x:c>
      <x:c r="E124" s="11" t="n">
        <x:f>SUMIFS('Assignments'!$E$2:$E$353,'Assignments'!$A$2:$A$353,A124,'Assignments'!$B$2:$B$353,C124)</x:f>
        <x:v>30</x:v>
      </x:c>
      <x:c r="F124" s="11" t="n">
        <x:f>D124-E124</x:f>
        <x:v>10</x:v>
      </x:c>
      <x:c r="G124" s="13" t="n">
        <x:f>E124/D124</x:f>
        <x:v>0.75</x:v>
      </x:c>
    </x:row>
    <x:row r="125" ht="40" customHeight="1">
      <x:c r="A125" s="3" t="str">
        <x:v>FW-E031</x:v>
      </x:c>
      <x:c r="B125" s="3" t="str">
        <x:v>Audrey Scott</x:v>
      </x:c>
      <x:c r="C125" s="8" t="n">
        <x:v>46367</x:v>
      </x:c>
      <x:c r="D125" s="12" t="n">
        <x:v>40</x:v>
      </x:c>
      <x:c r="E125" s="12" t="n">
        <x:f>SUMIFS('Assignments'!$E$2:$E$353,'Assignments'!$A$2:$A$353,A125,'Assignments'!$B$2:$B$353,C125)</x:f>
        <x:v>28</x:v>
      </x:c>
      <x:c r="F125" s="12" t="n">
        <x:f>D125-E125</x:f>
        <x:v>12</x:v>
      </x:c>
      <x:c r="G125" s="14" t="n">
        <x:f>E125/D125</x:f>
        <x:v>0.7</x:v>
      </x:c>
    </x:row>
    <x:row r="126" ht="40" customHeight="1">
      <x:c r="A126" s="6" t="str">
        <x:v>FW-E032</x:v>
      </x:c>
      <x:c r="B126" s="6" t="str">
        <x:v>Miles Mercer</x:v>
      </x:c>
      <x:c r="C126" s="7" t="n">
        <x:v>46277</x:v>
      </x:c>
      <x:c r="D126" s="11" t="n">
        <x:v>40</x:v>
      </x:c>
      <x:c r="E126" s="11" t="n">
        <x:f>SUMIFS('Assignments'!$E$2:$E$353,'Assignments'!$A$2:$A$353,A126,'Assignments'!$B$2:$B$353,C126)</x:f>
        <x:v>33.6</x:v>
      </x:c>
      <x:c r="F126" s="11" t="n">
        <x:f>D126-E126</x:f>
        <x:v>6.399999999999999</x:v>
      </x:c>
      <x:c r="G126" s="13" t="n">
        <x:f>E126/D126</x:f>
        <x:v>0.8400000000000001</x:v>
      </x:c>
    </x:row>
    <x:row r="127" ht="40" customHeight="1">
      <x:c r="A127" s="3" t="str">
        <x:v>FW-E032</x:v>
      </x:c>
      <x:c r="B127" s="3" t="str">
        <x:v>Miles Mercer</x:v>
      </x:c>
      <x:c r="C127" s="8" t="n">
        <x:v>46307</x:v>
      </x:c>
      <x:c r="D127" s="12" t="n">
        <x:v>40</x:v>
      </x:c>
      <x:c r="E127" s="12" t="n">
        <x:f>SUMIFS('Assignments'!$E$2:$E$353,'Assignments'!$A$2:$A$353,A127,'Assignments'!$B$2:$B$353,C127)</x:f>
        <x:v>34.4</x:v>
      </x:c>
      <x:c r="F127" s="12" t="n">
        <x:f>D127-E127</x:f>
        <x:v>5.600000000000001</x:v>
      </x:c>
      <x:c r="G127" s="14" t="n">
        <x:f>E127/D127</x:f>
        <x:v>0.86</x:v>
      </x:c>
    </x:row>
    <x:row r="128" ht="40" customHeight="1">
      <x:c r="A128" s="6" t="str">
        <x:v>FW-E032</x:v>
      </x:c>
      <x:c r="B128" s="6" t="str">
        <x:v>Miles Mercer</x:v>
      </x:c>
      <x:c r="C128" s="7" t="n">
        <x:v>46337</x:v>
      </x:c>
      <x:c r="D128" s="11" t="n">
        <x:v>40</x:v>
      </x:c>
      <x:c r="E128" s="11" t="n">
        <x:f>SUMIFS('Assignments'!$E$2:$E$353,'Assignments'!$A$2:$A$353,A128,'Assignments'!$B$2:$B$353,C128)</x:f>
        <x:v>30</x:v>
      </x:c>
      <x:c r="F128" s="11" t="n">
        <x:f>D128-E128</x:f>
        <x:v>10</x:v>
      </x:c>
      <x:c r="G128" s="13" t="n">
        <x:f>E128/D128</x:f>
        <x:v>0.75</x:v>
      </x:c>
    </x:row>
    <x:row r="129" ht="40" customHeight="1">
      <x:c r="A129" s="3" t="str">
        <x:v>FW-E032</x:v>
      </x:c>
      <x:c r="B129" s="3" t="str">
        <x:v>Miles Mercer</x:v>
      </x:c>
      <x:c r="C129" s="8" t="n">
        <x:v>46367</x:v>
      </x:c>
      <x:c r="D129" s="12" t="n">
        <x:v>40</x:v>
      </x:c>
      <x:c r="E129" s="12" t="n">
        <x:f>SUMIFS('Assignments'!$E$2:$E$353,'Assignments'!$A$2:$A$353,A129,'Assignments'!$B$2:$B$353,C129)</x:f>
        <x:v>28</x:v>
      </x:c>
      <x:c r="F129" s="12" t="n">
        <x:f>D129-E129</x:f>
        <x:v>12</x:v>
      </x:c>
      <x:c r="G129" s="14" t="n">
        <x:f>E129/D129</x:f>
        <x:v>0.7</x:v>
      </x:c>
    </x:row>
    <x:row r="130" ht="40" customHeight="1">
      <x:c r="A130" s="6" t="str">
        <x:v>FW-E033</x:v>
      </x:c>
      <x:c r="B130" s="6" t="str">
        <x:v>Claire Evans</x:v>
      </x:c>
      <x:c r="C130" s="7" t="n">
        <x:v>46277</x:v>
      </x:c>
      <x:c r="D130" s="11" t="n">
        <x:v>40</x:v>
      </x:c>
      <x:c r="E130" s="11" t="n">
        <x:f>SUMIFS('Assignments'!$E$2:$E$353,'Assignments'!$A$2:$A$353,A130,'Assignments'!$B$2:$B$353,C130)</x:f>
        <x:v>33.6</x:v>
      </x:c>
      <x:c r="F130" s="11" t="n">
        <x:f>D130-E130</x:f>
        <x:v>6.399999999999999</x:v>
      </x:c>
      <x:c r="G130" s="13" t="n">
        <x:f>E130/D130</x:f>
        <x:v>0.8400000000000001</x:v>
      </x:c>
    </x:row>
    <x:row r="131" ht="40" customHeight="1">
      <x:c r="A131" s="3" t="str">
        <x:v>FW-E033</x:v>
      </x:c>
      <x:c r="B131" s="3" t="str">
        <x:v>Claire Evans</x:v>
      </x:c>
      <x:c r="C131" s="8" t="n">
        <x:v>46307</x:v>
      </x:c>
      <x:c r="D131" s="12" t="n">
        <x:v>40</x:v>
      </x:c>
      <x:c r="E131" s="12" t="n">
        <x:f>SUMIFS('Assignments'!$E$2:$E$353,'Assignments'!$A$2:$A$353,A131,'Assignments'!$B$2:$B$353,C131)</x:f>
        <x:v>34.4</x:v>
      </x:c>
      <x:c r="F131" s="12" t="n">
        <x:f>D131-E131</x:f>
        <x:v>5.600000000000001</x:v>
      </x:c>
      <x:c r="G131" s="14" t="n">
        <x:f>E131/D131</x:f>
        <x:v>0.86</x:v>
      </x:c>
    </x:row>
    <x:row r="132" ht="40" customHeight="1">
      <x:c r="A132" s="6" t="str">
        <x:v>FW-E033</x:v>
      </x:c>
      <x:c r="B132" s="6" t="str">
        <x:v>Claire Evans</x:v>
      </x:c>
      <x:c r="C132" s="7" t="n">
        <x:v>46337</x:v>
      </x:c>
      <x:c r="D132" s="11" t="n">
        <x:v>40</x:v>
      </x:c>
      <x:c r="E132" s="11" t="n">
        <x:f>SUMIFS('Assignments'!$E$2:$E$353,'Assignments'!$A$2:$A$353,A132,'Assignments'!$B$2:$B$353,C132)</x:f>
        <x:v>30</x:v>
      </x:c>
      <x:c r="F132" s="11" t="n">
        <x:f>D132-E132</x:f>
        <x:v>10</x:v>
      </x:c>
      <x:c r="G132" s="13" t="n">
        <x:f>E132/D132</x:f>
        <x:v>0.75</x:v>
      </x:c>
    </x:row>
    <x:row r="133" ht="40" customHeight="1">
      <x:c r="A133" s="3" t="str">
        <x:v>FW-E033</x:v>
      </x:c>
      <x:c r="B133" s="3" t="str">
        <x:v>Claire Evans</x:v>
      </x:c>
      <x:c r="C133" s="8" t="n">
        <x:v>46367</x:v>
      </x:c>
      <x:c r="D133" s="12" t="n">
        <x:v>40</x:v>
      </x:c>
      <x:c r="E133" s="12" t="n">
        <x:f>SUMIFS('Assignments'!$E$2:$E$353,'Assignments'!$A$2:$A$353,A133,'Assignments'!$B$2:$B$353,C133)</x:f>
        <x:v>28</x:v>
      </x:c>
      <x:c r="F133" s="12" t="n">
        <x:f>D133-E133</x:f>
        <x:v>12</x:v>
      </x:c>
      <x:c r="G133" s="14" t="n">
        <x:f>E133/D133</x:f>
        <x:v>0.7</x:v>
      </x:c>
    </x:row>
    <x:row r="134" ht="40" customHeight="1">
      <x:c r="A134" s="6" t="str">
        <x:v>FW-E034</x:v>
      </x:c>
      <x:c r="B134" s="6" t="str">
        <x:v>Sebastian Ward</x:v>
      </x:c>
      <x:c r="C134" s="7" t="n">
        <x:v>46277</x:v>
      </x:c>
      <x:c r="D134" s="11" t="n">
        <x:v>40</x:v>
      </x:c>
      <x:c r="E134" s="11" t="n">
        <x:f>SUMIFS('Assignments'!$E$2:$E$353,'Assignments'!$A$2:$A$353,A134,'Assignments'!$B$2:$B$353,C134)</x:f>
        <x:v>33.6</x:v>
      </x:c>
      <x:c r="F134" s="11" t="n">
        <x:f>D134-E134</x:f>
        <x:v>6.399999999999999</x:v>
      </x:c>
      <x:c r="G134" s="13" t="n">
        <x:f>E134/D134</x:f>
        <x:v>0.8400000000000001</x:v>
      </x:c>
    </x:row>
    <x:row r="135" ht="40" customHeight="1">
      <x:c r="A135" s="3" t="str">
        <x:v>FW-E034</x:v>
      </x:c>
      <x:c r="B135" s="3" t="str">
        <x:v>Sebastian Ward</x:v>
      </x:c>
      <x:c r="C135" s="8" t="n">
        <x:v>46307</x:v>
      </x:c>
      <x:c r="D135" s="12" t="n">
        <x:v>40</x:v>
      </x:c>
      <x:c r="E135" s="12" t="n">
        <x:f>SUMIFS('Assignments'!$E$2:$E$353,'Assignments'!$A$2:$A$353,A135,'Assignments'!$B$2:$B$353,C135)</x:f>
        <x:v>34.4</x:v>
      </x:c>
      <x:c r="F135" s="12" t="n">
        <x:f>D135-E135</x:f>
        <x:v>5.600000000000001</x:v>
      </x:c>
      <x:c r="G135" s="14" t="n">
        <x:f>E135/D135</x:f>
        <x:v>0.86</x:v>
      </x:c>
    </x:row>
    <x:row r="136" ht="40" customHeight="1">
      <x:c r="A136" s="6" t="str">
        <x:v>FW-E034</x:v>
      </x:c>
      <x:c r="B136" s="6" t="str">
        <x:v>Sebastian Ward</x:v>
      </x:c>
      <x:c r="C136" s="7" t="n">
        <x:v>46337</x:v>
      </x:c>
      <x:c r="D136" s="11" t="n">
        <x:v>40</x:v>
      </x:c>
      <x:c r="E136" s="11" t="n">
        <x:f>SUMIFS('Assignments'!$E$2:$E$353,'Assignments'!$A$2:$A$353,A136,'Assignments'!$B$2:$B$353,C136)</x:f>
        <x:v>30</x:v>
      </x:c>
      <x:c r="F136" s="11" t="n">
        <x:f>D136-E136</x:f>
        <x:v>10</x:v>
      </x:c>
      <x:c r="G136" s="13" t="n">
        <x:f>E136/D136</x:f>
        <x:v>0.75</x:v>
      </x:c>
    </x:row>
    <x:row r="137" ht="40" customHeight="1">
      <x:c r="A137" s="3" t="str">
        <x:v>FW-E034</x:v>
      </x:c>
      <x:c r="B137" s="3" t="str">
        <x:v>Sebastian Ward</x:v>
      </x:c>
      <x:c r="C137" s="8" t="n">
        <x:v>46367</x:v>
      </x:c>
      <x:c r="D137" s="12" t="n">
        <x:v>40</x:v>
      </x:c>
      <x:c r="E137" s="12" t="n">
        <x:f>SUMIFS('Assignments'!$E$2:$E$353,'Assignments'!$A$2:$A$353,A137,'Assignments'!$B$2:$B$353,C137)</x:f>
        <x:v>28</x:v>
      </x:c>
      <x:c r="F137" s="12" t="n">
        <x:f>D137-E137</x:f>
        <x:v>12</x:v>
      </x:c>
      <x:c r="G137" s="14" t="n">
        <x:f>E137/D137</x:f>
        <x:v>0.7</x:v>
      </x:c>
    </x:row>
    <x:row r="138" ht="40" customHeight="1">
      <x:c r="A138" s="6" t="str">
        <x:v>FW-E035</x:v>
      </x:c>
      <x:c r="B138" s="6" t="str">
        <x:v>Alice Whitcomb</x:v>
      </x:c>
      <x:c r="C138" s="7" t="n">
        <x:v>46277</x:v>
      </x:c>
      <x:c r="D138" s="11" t="n">
        <x:v>40</x:v>
      </x:c>
      <x:c r="E138" s="11" t="n">
        <x:f>SUMIFS('Assignments'!$E$2:$E$353,'Assignments'!$A$2:$A$353,A138,'Assignments'!$B$2:$B$353,C138)</x:f>
        <x:v>33.6</x:v>
      </x:c>
      <x:c r="F138" s="11" t="n">
        <x:f>D138-E138</x:f>
        <x:v>6.399999999999999</x:v>
      </x:c>
      <x:c r="G138" s="13" t="n">
        <x:f>E138/D138</x:f>
        <x:v>0.8400000000000001</x:v>
      </x:c>
    </x:row>
    <x:row r="139" ht="40" customHeight="1">
      <x:c r="A139" s="3" t="str">
        <x:v>FW-E035</x:v>
      </x:c>
      <x:c r="B139" s="3" t="str">
        <x:v>Alice Whitcomb</x:v>
      </x:c>
      <x:c r="C139" s="8" t="n">
        <x:v>46307</x:v>
      </x:c>
      <x:c r="D139" s="12" t="n">
        <x:v>40</x:v>
      </x:c>
      <x:c r="E139" s="12" t="n">
        <x:f>SUMIFS('Assignments'!$E$2:$E$353,'Assignments'!$A$2:$A$353,A139,'Assignments'!$B$2:$B$353,C139)</x:f>
        <x:v>34.4</x:v>
      </x:c>
      <x:c r="F139" s="12" t="n">
        <x:f>D139-E139</x:f>
        <x:v>5.600000000000001</x:v>
      </x:c>
      <x:c r="G139" s="14" t="n">
        <x:f>E139/D139</x:f>
        <x:v>0.86</x:v>
      </x:c>
    </x:row>
    <x:row r="140" ht="40" customHeight="1">
      <x:c r="A140" s="6" t="str">
        <x:v>FW-E035</x:v>
      </x:c>
      <x:c r="B140" s="6" t="str">
        <x:v>Alice Whitcomb</x:v>
      </x:c>
      <x:c r="C140" s="7" t="n">
        <x:v>46337</x:v>
      </x:c>
      <x:c r="D140" s="11" t="n">
        <x:v>40</x:v>
      </x:c>
      <x:c r="E140" s="11" t="n">
        <x:f>SUMIFS('Assignments'!$E$2:$E$353,'Assignments'!$A$2:$A$353,A140,'Assignments'!$B$2:$B$353,C140)</x:f>
        <x:v>30</x:v>
      </x:c>
      <x:c r="F140" s="11" t="n">
        <x:f>D140-E140</x:f>
        <x:v>10</x:v>
      </x:c>
      <x:c r="G140" s="13" t="n">
        <x:f>E140/D140</x:f>
        <x:v>0.75</x:v>
      </x:c>
    </x:row>
    <x:row r="141" ht="40" customHeight="1">
      <x:c r="A141" s="3" t="str">
        <x:v>FW-E035</x:v>
      </x:c>
      <x:c r="B141" s="3" t="str">
        <x:v>Alice Whitcomb</x:v>
      </x:c>
      <x:c r="C141" s="8" t="n">
        <x:v>46367</x:v>
      </x:c>
      <x:c r="D141" s="12" t="n">
        <x:v>40</x:v>
      </x:c>
      <x:c r="E141" s="12" t="n">
        <x:f>SUMIFS('Assignments'!$E$2:$E$353,'Assignments'!$A$2:$A$353,A141,'Assignments'!$B$2:$B$353,C141)</x:f>
        <x:v>28</x:v>
      </x:c>
      <x:c r="F141" s="12" t="n">
        <x:f>D141-E141</x:f>
        <x:v>12</x:v>
      </x:c>
      <x:c r="G141" s="14" t="n">
        <x:f>E141/D141</x:f>
        <x:v>0.7</x:v>
      </x:c>
    </x:row>
    <x:row r="142" ht="40" customHeight="1">
      <x:c r="A142" s="6" t="str">
        <x:v>FW-E036</x:v>
      </x:c>
      <x:c r="B142" s="6" t="str">
        <x:v>Felix Howard</x:v>
      </x:c>
      <x:c r="C142" s="7" t="n">
        <x:v>46277</x:v>
      </x:c>
      <x:c r="D142" s="11" t="n">
        <x:v>40</x:v>
      </x:c>
      <x:c r="E142" s="11" t="n">
        <x:f>SUMIFS('Assignments'!$E$2:$E$353,'Assignments'!$A$2:$A$353,A142,'Assignments'!$B$2:$B$353,C142)</x:f>
        <x:v>33.6</x:v>
      </x:c>
      <x:c r="F142" s="11" t="n">
        <x:f>D142-E142</x:f>
        <x:v>6.399999999999999</x:v>
      </x:c>
      <x:c r="G142" s="13" t="n">
        <x:f>E142/D142</x:f>
        <x:v>0.8400000000000001</x:v>
      </x:c>
    </x:row>
    <x:row r="143" ht="40" customHeight="1">
      <x:c r="A143" s="3" t="str">
        <x:v>FW-E036</x:v>
      </x:c>
      <x:c r="B143" s="3" t="str">
        <x:v>Felix Howard</x:v>
      </x:c>
      <x:c r="C143" s="8" t="n">
        <x:v>46307</x:v>
      </x:c>
      <x:c r="D143" s="12" t="n">
        <x:v>40</x:v>
      </x:c>
      <x:c r="E143" s="12" t="n">
        <x:f>SUMIFS('Assignments'!$E$2:$E$353,'Assignments'!$A$2:$A$353,A143,'Assignments'!$B$2:$B$353,C143)</x:f>
        <x:v>34.4</x:v>
      </x:c>
      <x:c r="F143" s="12" t="n">
        <x:f>D143-E143</x:f>
        <x:v>5.600000000000001</x:v>
      </x:c>
      <x:c r="G143" s="14" t="n">
        <x:f>E143/D143</x:f>
        <x:v>0.86</x:v>
      </x:c>
    </x:row>
    <x:row r="144" ht="40" customHeight="1">
      <x:c r="A144" s="6" t="str">
        <x:v>FW-E036</x:v>
      </x:c>
      <x:c r="B144" s="6" t="str">
        <x:v>Felix Howard</x:v>
      </x:c>
      <x:c r="C144" s="7" t="n">
        <x:v>46337</x:v>
      </x:c>
      <x:c r="D144" s="11" t="n">
        <x:v>40</x:v>
      </x:c>
      <x:c r="E144" s="11" t="n">
        <x:f>SUMIFS('Assignments'!$E$2:$E$353,'Assignments'!$A$2:$A$353,A144,'Assignments'!$B$2:$B$353,C144)</x:f>
        <x:v>30</x:v>
      </x:c>
      <x:c r="F144" s="11" t="n">
        <x:f>D144-E144</x:f>
        <x:v>10</x:v>
      </x:c>
      <x:c r="G144" s="13" t="n">
        <x:f>E144/D144</x:f>
        <x:v>0.75</x:v>
      </x:c>
    </x:row>
    <x:row r="145" ht="40" customHeight="1">
      <x:c r="A145" s="3" t="str">
        <x:v>FW-E036</x:v>
      </x:c>
      <x:c r="B145" s="3" t="str">
        <x:v>Felix Howard</x:v>
      </x:c>
      <x:c r="C145" s="8" t="n">
        <x:v>46367</x:v>
      </x:c>
      <x:c r="D145" s="12" t="n">
        <x:v>40</x:v>
      </x:c>
      <x:c r="E145" s="12" t="n">
        <x:f>SUMIFS('Assignments'!$E$2:$E$353,'Assignments'!$A$2:$A$353,A145,'Assignments'!$B$2:$B$353,C145)</x:f>
        <x:v>28</x:v>
      </x:c>
      <x:c r="F145" s="12" t="n">
        <x:f>D145-E145</x:f>
        <x:v>12</x:v>
      </x:c>
      <x:c r="G145" s="14" t="n">
        <x:f>E145/D145</x:f>
        <x:v>0.7</x:v>
      </x:c>
    </x:row>
    <x:row r="146" ht="40" customHeight="1">
      <x:c r="A146" s="6" t="str">
        <x:v>FW-E037</x:v>
      </x:c>
      <x:c r="B146" s="6" t="str">
        <x:v>Violet Russell</x:v>
      </x:c>
      <x:c r="C146" s="7" t="n">
        <x:v>46277</x:v>
      </x:c>
      <x:c r="D146" s="11" t="n">
        <x:v>40</x:v>
      </x:c>
      <x:c r="E146" s="11" t="n">
        <x:f>SUMIFS('Assignments'!$E$2:$E$353,'Assignments'!$A$2:$A$353,A146,'Assignments'!$B$2:$B$353,C146)</x:f>
        <x:v>33.6</x:v>
      </x:c>
      <x:c r="F146" s="11" t="n">
        <x:f>D146-E146</x:f>
        <x:v>6.399999999999999</x:v>
      </x:c>
      <x:c r="G146" s="13" t="n">
        <x:f>E146/D146</x:f>
        <x:v>0.8400000000000001</x:v>
      </x:c>
    </x:row>
    <x:row r="147" ht="40" customHeight="1">
      <x:c r="A147" s="3" t="str">
        <x:v>FW-E037</x:v>
      </x:c>
      <x:c r="B147" s="3" t="str">
        <x:v>Violet Russell</x:v>
      </x:c>
      <x:c r="C147" s="8" t="n">
        <x:v>46307</x:v>
      </x:c>
      <x:c r="D147" s="12" t="n">
        <x:v>40</x:v>
      </x:c>
      <x:c r="E147" s="12" t="n">
        <x:f>SUMIFS('Assignments'!$E$2:$E$353,'Assignments'!$A$2:$A$353,A147,'Assignments'!$B$2:$B$353,C147)</x:f>
        <x:v>34.4</x:v>
      </x:c>
      <x:c r="F147" s="12" t="n">
        <x:f>D147-E147</x:f>
        <x:v>5.600000000000001</x:v>
      </x:c>
      <x:c r="G147" s="14" t="n">
        <x:f>E147/D147</x:f>
        <x:v>0.86</x:v>
      </x:c>
    </x:row>
    <x:row r="148" ht="40" customHeight="1">
      <x:c r="A148" s="6" t="str">
        <x:v>FW-E037</x:v>
      </x:c>
      <x:c r="B148" s="6" t="str">
        <x:v>Violet Russell</x:v>
      </x:c>
      <x:c r="C148" s="7" t="n">
        <x:v>46337</x:v>
      </x:c>
      <x:c r="D148" s="11" t="n">
        <x:v>40</x:v>
      </x:c>
      <x:c r="E148" s="11" t="n">
        <x:f>SUMIFS('Assignments'!$E$2:$E$353,'Assignments'!$A$2:$A$353,A148,'Assignments'!$B$2:$B$353,C148)</x:f>
        <x:v>30</x:v>
      </x:c>
      <x:c r="F148" s="11" t="n">
        <x:f>D148-E148</x:f>
        <x:v>10</x:v>
      </x:c>
      <x:c r="G148" s="13" t="n">
        <x:f>E148/D148</x:f>
        <x:v>0.75</x:v>
      </x:c>
    </x:row>
    <x:row r="149" ht="40" customHeight="1">
      <x:c r="A149" s="3" t="str">
        <x:v>FW-E037</x:v>
      </x:c>
      <x:c r="B149" s="3" t="str">
        <x:v>Violet Russell</x:v>
      </x:c>
      <x:c r="C149" s="8" t="n">
        <x:v>46367</x:v>
      </x:c>
      <x:c r="D149" s="12" t="n">
        <x:v>40</x:v>
      </x:c>
      <x:c r="E149" s="12" t="n">
        <x:f>SUMIFS('Assignments'!$E$2:$E$353,'Assignments'!$A$2:$A$353,A149,'Assignments'!$B$2:$B$353,C149)</x:f>
        <x:v>28</x:v>
      </x:c>
      <x:c r="F149" s="12" t="n">
        <x:f>D149-E149</x:f>
        <x:v>12</x:v>
      </x:c>
      <x:c r="G149" s="14" t="n">
        <x:f>E149/D149</x:f>
        <x:v>0.7</x:v>
      </x:c>
    </x:row>
    <x:row r="150" ht="40" customHeight="1">
      <x:c r="A150" s="6" t="str">
        <x:v>FW-E038</x:v>
      </x:c>
      <x:c r="B150" s="6" t="str">
        <x:v>Simon Gray</x:v>
      </x:c>
      <x:c r="C150" s="7" t="n">
        <x:v>46277</x:v>
      </x:c>
      <x:c r="D150" s="11" t="n">
        <x:v>40</x:v>
      </x:c>
      <x:c r="E150" s="11" t="n">
        <x:f>SUMIFS('Assignments'!$E$2:$E$353,'Assignments'!$A$2:$A$353,A150,'Assignments'!$B$2:$B$353,C150)</x:f>
        <x:v>33.6</x:v>
      </x:c>
      <x:c r="F150" s="11" t="n">
        <x:f>D150-E150</x:f>
        <x:v>6.399999999999999</x:v>
      </x:c>
      <x:c r="G150" s="13" t="n">
        <x:f>E150/D150</x:f>
        <x:v>0.8400000000000001</x:v>
      </x:c>
    </x:row>
    <x:row r="151" ht="40" customHeight="1">
      <x:c r="A151" s="3" t="str">
        <x:v>FW-E038</x:v>
      </x:c>
      <x:c r="B151" s="3" t="str">
        <x:v>Simon Gray</x:v>
      </x:c>
      <x:c r="C151" s="8" t="n">
        <x:v>46307</x:v>
      </x:c>
      <x:c r="D151" s="12" t="n">
        <x:v>40</x:v>
      </x:c>
      <x:c r="E151" s="12" t="n">
        <x:f>SUMIFS('Assignments'!$E$2:$E$353,'Assignments'!$A$2:$A$353,A151,'Assignments'!$B$2:$B$353,C151)</x:f>
        <x:v>34.4</x:v>
      </x:c>
      <x:c r="F151" s="12" t="n">
        <x:f>D151-E151</x:f>
        <x:v>5.600000000000001</x:v>
      </x:c>
      <x:c r="G151" s="14" t="n">
        <x:f>E151/D151</x:f>
        <x:v>0.86</x:v>
      </x:c>
    </x:row>
    <x:row r="152" ht="40" customHeight="1">
      <x:c r="A152" s="6" t="str">
        <x:v>FW-E038</x:v>
      </x:c>
      <x:c r="B152" s="6" t="str">
        <x:v>Simon Gray</x:v>
      </x:c>
      <x:c r="C152" s="7" t="n">
        <x:v>46337</x:v>
      </x:c>
      <x:c r="D152" s="11" t="n">
        <x:v>40</x:v>
      </x:c>
      <x:c r="E152" s="11" t="n">
        <x:f>SUMIFS('Assignments'!$E$2:$E$353,'Assignments'!$A$2:$A$353,A152,'Assignments'!$B$2:$B$353,C152)</x:f>
        <x:v>30</x:v>
      </x:c>
      <x:c r="F152" s="11" t="n">
        <x:f>D152-E152</x:f>
        <x:v>10</x:v>
      </x:c>
      <x:c r="G152" s="13" t="n">
        <x:f>E152/D152</x:f>
        <x:v>0.75</x:v>
      </x:c>
    </x:row>
    <x:row r="153" ht="40" customHeight="1">
      <x:c r="A153" s="3" t="str">
        <x:v>FW-E038</x:v>
      </x:c>
      <x:c r="B153" s="3" t="str">
        <x:v>Simon Gray</x:v>
      </x:c>
      <x:c r="C153" s="8" t="n">
        <x:v>46367</x:v>
      </x:c>
      <x:c r="D153" s="12" t="n">
        <x:v>40</x:v>
      </x:c>
      <x:c r="E153" s="12" t="n">
        <x:f>SUMIFS('Assignments'!$E$2:$E$353,'Assignments'!$A$2:$A$353,A153,'Assignments'!$B$2:$B$353,C153)</x:f>
        <x:v>28</x:v>
      </x:c>
      <x:c r="F153" s="12" t="n">
        <x:f>D153-E153</x:f>
        <x:v>12</x:v>
      </x:c>
      <x:c r="G153" s="14" t="n">
        <x:f>E153/D153</x:f>
        <x:v>0.7</x:v>
      </x:c>
    </x:row>
    <x:row r="154" ht="40" customHeight="1">
      <x:c r="A154" s="6" t="str">
        <x:v>FW-E039</x:v>
      </x:c>
      <x:c r="B154" s="6" t="str">
        <x:v>Natalie Weller</x:v>
      </x:c>
      <x:c r="C154" s="7" t="n">
        <x:v>46277</x:v>
      </x:c>
      <x:c r="D154" s="11" t="n">
        <x:v>40</x:v>
      </x:c>
      <x:c r="E154" s="11" t="n">
        <x:f>SUMIFS('Assignments'!$E$2:$E$353,'Assignments'!$A$2:$A$353,A154,'Assignments'!$B$2:$B$353,C154)</x:f>
        <x:v>33.6</x:v>
      </x:c>
      <x:c r="F154" s="11" t="n">
        <x:f>D154-E154</x:f>
        <x:v>6.399999999999999</x:v>
      </x:c>
      <x:c r="G154" s="13" t="n">
        <x:f>E154/D154</x:f>
        <x:v>0.8400000000000001</x:v>
      </x:c>
    </x:row>
    <x:row r="155" ht="40" customHeight="1">
      <x:c r="A155" s="3" t="str">
        <x:v>FW-E039</x:v>
      </x:c>
      <x:c r="B155" s="3" t="str">
        <x:v>Natalie Weller</x:v>
      </x:c>
      <x:c r="C155" s="8" t="n">
        <x:v>46307</x:v>
      </x:c>
      <x:c r="D155" s="12" t="n">
        <x:v>40</x:v>
      </x:c>
      <x:c r="E155" s="12" t="n">
        <x:f>SUMIFS('Assignments'!$E$2:$E$353,'Assignments'!$A$2:$A$353,A155,'Assignments'!$B$2:$B$353,C155)</x:f>
        <x:v>34.4</x:v>
      </x:c>
      <x:c r="F155" s="12" t="n">
        <x:f>D155-E155</x:f>
        <x:v>5.600000000000001</x:v>
      </x:c>
      <x:c r="G155" s="14" t="n">
        <x:f>E155/D155</x:f>
        <x:v>0.86</x:v>
      </x:c>
    </x:row>
    <x:row r="156" ht="40" customHeight="1">
      <x:c r="A156" s="6" t="str">
        <x:v>FW-E039</x:v>
      </x:c>
      <x:c r="B156" s="6" t="str">
        <x:v>Natalie Weller</x:v>
      </x:c>
      <x:c r="C156" s="7" t="n">
        <x:v>46337</x:v>
      </x:c>
      <x:c r="D156" s="11" t="n">
        <x:v>40</x:v>
      </x:c>
      <x:c r="E156" s="11" t="n">
        <x:f>SUMIFS('Assignments'!$E$2:$E$353,'Assignments'!$A$2:$A$353,A156,'Assignments'!$B$2:$B$353,C156)</x:f>
        <x:v>30</x:v>
      </x:c>
      <x:c r="F156" s="11" t="n">
        <x:f>D156-E156</x:f>
        <x:v>10</x:v>
      </x:c>
      <x:c r="G156" s="13" t="n">
        <x:f>E156/D156</x:f>
        <x:v>0.75</x:v>
      </x:c>
    </x:row>
    <x:row r="157" ht="40" customHeight="1">
      <x:c r="A157" s="3" t="str">
        <x:v>FW-E039</x:v>
      </x:c>
      <x:c r="B157" s="3" t="str">
        <x:v>Natalie Weller</x:v>
      </x:c>
      <x:c r="C157" s="8" t="n">
        <x:v>46367</x:v>
      </x:c>
      <x:c r="D157" s="12" t="n">
        <x:v>40</x:v>
      </x:c>
      <x:c r="E157" s="12" t="n">
        <x:f>SUMIFS('Assignments'!$E$2:$E$353,'Assignments'!$A$2:$A$353,A157,'Assignments'!$B$2:$B$353,C157)</x:f>
        <x:v>28</x:v>
      </x:c>
      <x:c r="F157" s="12" t="n">
        <x:f>D157-E157</x:f>
        <x:v>12</x:v>
      </x:c>
      <x:c r="G157" s="14" t="n">
        <x:f>E157/D157</x:f>
        <x:v>0.7</x:v>
      </x:c>
    </x:row>
    <x:row r="158" ht="40" customHeight="1">
      <x:c r="A158" s="6" t="str">
        <x:v>FW-E040</x:v>
      </x:c>
      <x:c r="B158" s="6" t="str">
        <x:v>Aaron Blake</x:v>
      </x:c>
      <x:c r="C158" s="7" t="n">
        <x:v>46277</x:v>
      </x:c>
      <x:c r="D158" s="11" t="n">
        <x:v>40</x:v>
      </x:c>
      <x:c r="E158" s="11" t="n">
        <x:f>SUMIFS('Assignments'!$E$2:$E$353,'Assignments'!$A$2:$A$353,A158,'Assignments'!$B$2:$B$353,C158)</x:f>
        <x:v>33.6</x:v>
      </x:c>
      <x:c r="F158" s="11" t="n">
        <x:f>D158-E158</x:f>
        <x:v>6.399999999999999</x:v>
      </x:c>
      <x:c r="G158" s="13" t="n">
        <x:f>E158/D158</x:f>
        <x:v>0.8400000000000001</x:v>
      </x:c>
    </x:row>
    <x:row r="159" ht="40" customHeight="1">
      <x:c r="A159" s="3" t="str">
        <x:v>FW-E040</x:v>
      </x:c>
      <x:c r="B159" s="3" t="str">
        <x:v>Aaron Blake</x:v>
      </x:c>
      <x:c r="C159" s="8" t="n">
        <x:v>46307</x:v>
      </x:c>
      <x:c r="D159" s="12" t="n">
        <x:v>40</x:v>
      </x:c>
      <x:c r="E159" s="12" t="n">
        <x:f>SUMIFS('Assignments'!$E$2:$E$353,'Assignments'!$A$2:$A$353,A159,'Assignments'!$B$2:$B$353,C159)</x:f>
        <x:v>34.4</x:v>
      </x:c>
      <x:c r="F159" s="12" t="n">
        <x:f>D159-E159</x:f>
        <x:v>5.600000000000001</x:v>
      </x:c>
      <x:c r="G159" s="14" t="n">
        <x:f>E159/D159</x:f>
        <x:v>0.86</x:v>
      </x:c>
    </x:row>
    <x:row r="160" ht="40" customHeight="1">
      <x:c r="A160" s="6" t="str">
        <x:v>FW-E040</x:v>
      </x:c>
      <x:c r="B160" s="6" t="str">
        <x:v>Aaron Blake</x:v>
      </x:c>
      <x:c r="C160" s="7" t="n">
        <x:v>46337</x:v>
      </x:c>
      <x:c r="D160" s="11" t="n">
        <x:v>40</x:v>
      </x:c>
      <x:c r="E160" s="11" t="n">
        <x:f>SUMIFS('Assignments'!$E$2:$E$353,'Assignments'!$A$2:$A$353,A160,'Assignments'!$B$2:$B$353,C160)</x:f>
        <x:v>30</x:v>
      </x:c>
      <x:c r="F160" s="11" t="n">
        <x:f>D160-E160</x:f>
        <x:v>10</x:v>
      </x:c>
      <x:c r="G160" s="13" t="n">
        <x:f>E160/D160</x:f>
        <x:v>0.75</x:v>
      </x:c>
    </x:row>
    <x:row r="161" ht="40" customHeight="1">
      <x:c r="A161" s="3" t="str">
        <x:v>FW-E040</x:v>
      </x:c>
      <x:c r="B161" s="3" t="str">
        <x:v>Aaron Blake</x:v>
      </x:c>
      <x:c r="C161" s="8" t="n">
        <x:v>46367</x:v>
      </x:c>
      <x:c r="D161" s="12" t="n">
        <x:v>40</x:v>
      </x:c>
      <x:c r="E161" s="12" t="n">
        <x:f>SUMIFS('Assignments'!$E$2:$E$353,'Assignments'!$A$2:$A$353,A161,'Assignments'!$B$2:$B$353,C161)</x:f>
        <x:v>28</x:v>
      </x:c>
      <x:c r="F161" s="12" t="n">
        <x:f>D161-E161</x:f>
        <x:v>12</x:v>
      </x:c>
      <x:c r="G161" s="14" t="n">
        <x:f>E161/D161</x:f>
        <x:v>0.7</x:v>
      </x:c>
    </x:row>
    <x:row r="162" ht="40" customHeight="1">
      <x:c r="A162" s="6" t="str">
        <x:v>FW-E041</x:v>
      </x:c>
      <x:c r="B162" s="6" t="str">
        <x:v>Julia Santos</x:v>
      </x:c>
      <x:c r="C162" s="7" t="n">
        <x:v>46277</x:v>
      </x:c>
      <x:c r="D162" s="11" t="n">
        <x:v>40</x:v>
      </x:c>
      <x:c r="E162" s="11" t="n">
        <x:f>SUMIFS('Assignments'!$E$2:$E$353,'Assignments'!$A$2:$A$353,A162,'Assignments'!$B$2:$B$353,C162)</x:f>
        <x:v>33.6</x:v>
      </x:c>
      <x:c r="F162" s="11" t="n">
        <x:f>D162-E162</x:f>
        <x:v>6.399999999999999</x:v>
      </x:c>
      <x:c r="G162" s="13" t="n">
        <x:f>E162/D162</x:f>
        <x:v>0.8400000000000001</x:v>
      </x:c>
    </x:row>
    <x:row r="163" ht="40" customHeight="1">
      <x:c r="A163" s="3" t="str">
        <x:v>FW-E041</x:v>
      </x:c>
      <x:c r="B163" s="3" t="str">
        <x:v>Julia Santos</x:v>
      </x:c>
      <x:c r="C163" s="8" t="n">
        <x:v>46307</x:v>
      </x:c>
      <x:c r="D163" s="12" t="n">
        <x:v>40</x:v>
      </x:c>
      <x:c r="E163" s="12" t="n">
        <x:f>SUMIFS('Assignments'!$E$2:$E$353,'Assignments'!$A$2:$A$353,A163,'Assignments'!$B$2:$B$353,C163)</x:f>
        <x:v>34.4</x:v>
      </x:c>
      <x:c r="F163" s="12" t="n">
        <x:f>D163-E163</x:f>
        <x:v>5.600000000000001</x:v>
      </x:c>
      <x:c r="G163" s="14" t="n">
        <x:f>E163/D163</x:f>
        <x:v>0.86</x:v>
      </x:c>
    </x:row>
    <x:row r="164" ht="40" customHeight="1">
      <x:c r="A164" s="6" t="str">
        <x:v>FW-E041</x:v>
      </x:c>
      <x:c r="B164" s="6" t="str">
        <x:v>Julia Santos</x:v>
      </x:c>
      <x:c r="C164" s="7" t="n">
        <x:v>46337</x:v>
      </x:c>
      <x:c r="D164" s="11" t="n">
        <x:v>40</x:v>
      </x:c>
      <x:c r="E164" s="11" t="n">
        <x:f>SUMIFS('Assignments'!$E$2:$E$353,'Assignments'!$A$2:$A$353,A164,'Assignments'!$B$2:$B$353,C164)</x:f>
        <x:v>30</x:v>
      </x:c>
      <x:c r="F164" s="11" t="n">
        <x:f>D164-E164</x:f>
        <x:v>10</x:v>
      </x:c>
      <x:c r="G164" s="13" t="n">
        <x:f>E164/D164</x:f>
        <x:v>0.75</x:v>
      </x:c>
    </x:row>
    <x:row r="165" ht="40" customHeight="1">
      <x:c r="A165" s="3" t="str">
        <x:v>FW-E041</x:v>
      </x:c>
      <x:c r="B165" s="3" t="str">
        <x:v>Julia Santos</x:v>
      </x:c>
      <x:c r="C165" s="8" t="n">
        <x:v>46367</x:v>
      </x:c>
      <x:c r="D165" s="12" t="n">
        <x:v>40</x:v>
      </x:c>
      <x:c r="E165" s="12" t="n">
        <x:f>SUMIFS('Assignments'!$E$2:$E$353,'Assignments'!$A$2:$A$353,A165,'Assignments'!$B$2:$B$353,C165)</x:f>
        <x:v>28</x:v>
      </x:c>
      <x:c r="F165" s="12" t="n">
        <x:f>D165-E165</x:f>
        <x:v>12</x:v>
      </x:c>
      <x:c r="G165" s="14" t="n">
        <x:f>E165/D165</x:f>
        <x:v>0.7</x:v>
      </x:c>
    </x:row>
    <x:row r="166" ht="40" customHeight="1">
      <x:c r="A166" s="6" t="str">
        <x:v>FW-E042</x:v>
      </x:c>
      <x:c r="B166" s="6" t="str">
        <x:v>Diana Moore</x:v>
      </x:c>
      <x:c r="C166" s="7" t="n">
        <x:v>46277</x:v>
      </x:c>
      <x:c r="D166" s="11" t="n">
        <x:v>40</x:v>
      </x:c>
      <x:c r="E166" s="11" t="n">
        <x:f>SUMIFS('Assignments'!$E$2:$E$353,'Assignments'!$A$2:$A$353,A166,'Assignments'!$B$2:$B$353,C166)</x:f>
        <x:v>33.6</x:v>
      </x:c>
      <x:c r="F166" s="11" t="n">
        <x:f>D166-E166</x:f>
        <x:v>6.399999999999999</x:v>
      </x:c>
      <x:c r="G166" s="13" t="n">
        <x:f>E166/D166</x:f>
        <x:v>0.8400000000000001</x:v>
      </x:c>
    </x:row>
    <x:row r="167" ht="40" customHeight="1">
      <x:c r="A167" s="3" t="str">
        <x:v>FW-E042</x:v>
      </x:c>
      <x:c r="B167" s="3" t="str">
        <x:v>Diana Moore</x:v>
      </x:c>
      <x:c r="C167" s="8" t="n">
        <x:v>46307</x:v>
      </x:c>
      <x:c r="D167" s="12" t="n">
        <x:v>40</x:v>
      </x:c>
      <x:c r="E167" s="12" t="n">
        <x:f>SUMIFS('Assignments'!$E$2:$E$353,'Assignments'!$A$2:$A$353,A167,'Assignments'!$B$2:$B$353,C167)</x:f>
        <x:v>34.4</x:v>
      </x:c>
      <x:c r="F167" s="12" t="n">
        <x:f>D167-E167</x:f>
        <x:v>5.600000000000001</x:v>
      </x:c>
      <x:c r="G167" s="14" t="n">
        <x:f>E167/D167</x:f>
        <x:v>0.86</x:v>
      </x:c>
    </x:row>
    <x:row r="168" ht="40" customHeight="1">
      <x:c r="A168" s="6" t="str">
        <x:v>FW-E042</x:v>
      </x:c>
      <x:c r="B168" s="6" t="str">
        <x:v>Diana Moore</x:v>
      </x:c>
      <x:c r="C168" s="7" t="n">
        <x:v>46337</x:v>
      </x:c>
      <x:c r="D168" s="11" t="n">
        <x:v>40</x:v>
      </x:c>
      <x:c r="E168" s="11" t="n">
        <x:f>SUMIFS('Assignments'!$E$2:$E$353,'Assignments'!$A$2:$A$353,A168,'Assignments'!$B$2:$B$353,C168)</x:f>
        <x:v>30</x:v>
      </x:c>
      <x:c r="F168" s="11" t="n">
        <x:f>D168-E168</x:f>
        <x:v>10</x:v>
      </x:c>
      <x:c r="G168" s="13" t="n">
        <x:f>E168/D168</x:f>
        <x:v>0.75</x:v>
      </x:c>
    </x:row>
    <x:row r="169" ht="40" customHeight="1">
      <x:c r="A169" s="3" t="str">
        <x:v>FW-E042</x:v>
      </x:c>
      <x:c r="B169" s="3" t="str">
        <x:v>Diana Moore</x:v>
      </x:c>
      <x:c r="C169" s="8" t="n">
        <x:v>46367</x:v>
      </x:c>
      <x:c r="D169" s="12" t="n">
        <x:v>40</x:v>
      </x:c>
      <x:c r="E169" s="12" t="n">
        <x:f>SUMIFS('Assignments'!$E$2:$E$353,'Assignments'!$A$2:$A$353,A169,'Assignments'!$B$2:$B$353,C169)</x:f>
        <x:v>28</x:v>
      </x:c>
      <x:c r="F169" s="12" t="n">
        <x:f>D169-E169</x:f>
        <x:v>12</x:v>
      </x:c>
      <x:c r="G169" s="14" t="n">
        <x:f>E169/D169</x:f>
        <x:v>0.7</x:v>
      </x:c>
    </x:row>
    <x:row r="170" ht="40" customHeight="1">
      <x:c r="A170" s="6" t="str">
        <x:v>FW-E043</x:v>
      </x:c>
      <x:c r="B170" s="6" t="str">
        <x:v>Victor Lane</x:v>
      </x:c>
      <x:c r="C170" s="7" t="n">
        <x:v>46277</x:v>
      </x:c>
      <x:c r="D170" s="11" t="n">
        <x:v>40</x:v>
      </x:c>
      <x:c r="E170" s="11" t="n">
        <x:f>SUMIFS('Assignments'!$E$2:$E$353,'Assignments'!$A$2:$A$353,A170,'Assignments'!$B$2:$B$353,C170)</x:f>
        <x:v>33.2</x:v>
      </x:c>
      <x:c r="F170" s="11" t="n">
        <x:f>D170-E170</x:f>
        <x:v>6.799999999999997</x:v>
      </x:c>
      <x:c r="G170" s="13" t="n">
        <x:f>E170/D170</x:f>
        <x:v>0.8300000000000001</x:v>
      </x:c>
    </x:row>
    <x:row r="171" ht="40" customHeight="1">
      <x:c r="A171" s="3" t="str">
        <x:v>FW-E043</x:v>
      </x:c>
      <x:c r="B171" s="3" t="str">
        <x:v>Victor Lane</x:v>
      </x:c>
      <x:c r="C171" s="8" t="n">
        <x:v>46307</x:v>
      </x:c>
      <x:c r="D171" s="12" t="n">
        <x:v>40</x:v>
      </x:c>
      <x:c r="E171" s="12" t="n">
        <x:f>SUMIFS('Assignments'!$E$2:$E$353,'Assignments'!$A$2:$A$353,A171,'Assignments'!$B$2:$B$353,C171)</x:f>
        <x:v>34</x:v>
      </x:c>
      <x:c r="F171" s="12" t="n">
        <x:f>D171-E171</x:f>
        <x:v>6</x:v>
      </x:c>
      <x:c r="G171" s="14" t="n">
        <x:f>E171/D171</x:f>
        <x:v>0.85</x:v>
      </x:c>
    </x:row>
    <x:row r="172" ht="40" customHeight="1">
      <x:c r="A172" s="6" t="str">
        <x:v>FW-E043</x:v>
      </x:c>
      <x:c r="B172" s="6" t="str">
        <x:v>Victor Lane</x:v>
      </x:c>
      <x:c r="C172" s="7" t="n">
        <x:v>46337</x:v>
      </x:c>
      <x:c r="D172" s="11" t="n">
        <x:v>40</x:v>
      </x:c>
      <x:c r="E172" s="11" t="n">
        <x:f>SUMIFS('Assignments'!$E$2:$E$353,'Assignments'!$A$2:$A$353,A172,'Assignments'!$B$2:$B$353,C172)</x:f>
        <x:v>30</x:v>
      </x:c>
      <x:c r="F172" s="11" t="n">
        <x:f>D172-E172</x:f>
        <x:v>10</x:v>
      </x:c>
      <x:c r="G172" s="13" t="n">
        <x:f>E172/D172</x:f>
        <x:v>0.75</x:v>
      </x:c>
    </x:row>
    <x:row r="173" ht="40" customHeight="1">
      <x:c r="A173" s="3" t="str">
        <x:v>FW-E043</x:v>
      </x:c>
      <x:c r="B173" s="3" t="str">
        <x:v>Victor Lane</x:v>
      </x:c>
      <x:c r="C173" s="8" t="n">
        <x:v>46367</x:v>
      </x:c>
      <x:c r="D173" s="12" t="n">
        <x:v>40</x:v>
      </x:c>
      <x:c r="E173" s="12" t="n">
        <x:f>SUMIFS('Assignments'!$E$2:$E$353,'Assignments'!$A$2:$A$353,A173,'Assignments'!$B$2:$B$353,C173)</x:f>
        <x:v>28</x:v>
      </x:c>
      <x:c r="F173" s="12" t="n">
        <x:f>D173-E173</x:f>
        <x:v>12</x:v>
      </x:c>
      <x:c r="G173" s="14" t="n">
        <x:f>E173/D173</x:f>
        <x:v>0.7</x:v>
      </x:c>
    </x:row>
    <x:row r="174" ht="40" customHeight="1">
      <x:c r="A174" s="6" t="str">
        <x:v>FW-E044</x:v>
      </x:c>
      <x:c r="B174" s="6" t="str">
        <x:v>Rachel Stone</x:v>
      </x:c>
      <x:c r="C174" s="7" t="n">
        <x:v>46277</x:v>
      </x:c>
      <x:c r="D174" s="11" t="n">
        <x:v>40</x:v>
      </x:c>
      <x:c r="E174" s="11" t="n">
        <x:f>SUMIFS('Assignments'!$E$2:$E$353,'Assignments'!$A$2:$A$353,A174,'Assignments'!$B$2:$B$353,C174)</x:f>
        <x:v>33.2</x:v>
      </x:c>
      <x:c r="F174" s="11" t="n">
        <x:f>D174-E174</x:f>
        <x:v>6.799999999999997</x:v>
      </x:c>
      <x:c r="G174" s="13" t="n">
        <x:f>E174/D174</x:f>
        <x:v>0.8300000000000001</x:v>
      </x:c>
    </x:row>
    <x:row r="175" ht="40" customHeight="1">
      <x:c r="A175" s="3" t="str">
        <x:v>FW-E044</x:v>
      </x:c>
      <x:c r="B175" s="3" t="str">
        <x:v>Rachel Stone</x:v>
      </x:c>
      <x:c r="C175" s="8" t="n">
        <x:v>46307</x:v>
      </x:c>
      <x:c r="D175" s="12" t="n">
        <x:v>40</x:v>
      </x:c>
      <x:c r="E175" s="12" t="n">
        <x:f>SUMIFS('Assignments'!$E$2:$E$353,'Assignments'!$A$2:$A$353,A175,'Assignments'!$B$2:$B$353,C175)</x:f>
        <x:v>34</x:v>
      </x:c>
      <x:c r="F175" s="12" t="n">
        <x:f>D175-E175</x:f>
        <x:v>6</x:v>
      </x:c>
      <x:c r="G175" s="14" t="n">
        <x:f>E175/D175</x:f>
        <x:v>0.85</x:v>
      </x:c>
    </x:row>
    <x:row r="176" ht="40" customHeight="1">
      <x:c r="A176" s="6" t="str">
        <x:v>FW-E044</x:v>
      </x:c>
      <x:c r="B176" s="6" t="str">
        <x:v>Rachel Stone</x:v>
      </x:c>
      <x:c r="C176" s="7" t="n">
        <x:v>46337</x:v>
      </x:c>
      <x:c r="D176" s="11" t="n">
        <x:v>40</x:v>
      </x:c>
      <x:c r="E176" s="11" t="n">
        <x:f>SUMIFS('Assignments'!$E$2:$E$353,'Assignments'!$A$2:$A$353,A176,'Assignments'!$B$2:$B$353,C176)</x:f>
        <x:v>30</x:v>
      </x:c>
      <x:c r="F176" s="11" t="n">
        <x:f>D176-E176</x:f>
        <x:v>10</x:v>
      </x:c>
      <x:c r="G176" s="13" t="n">
        <x:f>E176/D176</x:f>
        <x:v>0.75</x:v>
      </x:c>
    </x:row>
    <x:row r="177" ht="40" customHeight="1">
      <x:c r="A177" s="3" t="str">
        <x:v>FW-E044</x:v>
      </x:c>
      <x:c r="B177" s="3" t="str">
        <x:v>Rachel Stone</x:v>
      </x:c>
      <x:c r="C177" s="8" t="n">
        <x:v>46367</x:v>
      </x:c>
      <x:c r="D177" s="12" t="n">
        <x:v>40</x:v>
      </x:c>
      <x:c r="E177" s="12" t="n">
        <x:f>SUMIFS('Assignments'!$E$2:$E$353,'Assignments'!$A$2:$A$353,A177,'Assignments'!$B$2:$B$353,C177)</x:f>
        <x:v>28</x:v>
      </x:c>
      <x:c r="F177" s="12" t="n">
        <x:f>D177-E177</x:f>
        <x:v>12</x:v>
      </x:c>
      <x:c r="G177" s="14" t="n">
        <x:f>E177/D177</x:f>
        <x:v>0.7</x:v>
      </x:c>
    </x:row>
    <x:row r="178" ht="40" customHeight="1">
      <x:c r="A178" s="6" t="str">
        <x:v>FW-E045</x:v>
      </x:c>
      <x:c r="B178" s="6" t="str">
        <x:v>Emma Lin</x:v>
      </x:c>
      <x:c r="C178" s="7" t="n">
        <x:v>46277</x:v>
      </x:c>
      <x:c r="D178" s="11" t="n">
        <x:v>40</x:v>
      </x:c>
      <x:c r="E178" s="11" t="n">
        <x:f>SUMIFS('Assignments'!$E$2:$E$353,'Assignments'!$A$2:$A$353,A178,'Assignments'!$B$2:$B$353,C178)</x:f>
        <x:v>33.2</x:v>
      </x:c>
      <x:c r="F178" s="11" t="n">
        <x:f>D178-E178</x:f>
        <x:v>6.799999999999997</x:v>
      </x:c>
      <x:c r="G178" s="13" t="n">
        <x:f>E178/D178</x:f>
        <x:v>0.8300000000000001</x:v>
      </x:c>
    </x:row>
    <x:row r="179" ht="40" customHeight="1">
      <x:c r="A179" s="3" t="str">
        <x:v>FW-E045</x:v>
      </x:c>
      <x:c r="B179" s="3" t="str">
        <x:v>Emma Lin</x:v>
      </x:c>
      <x:c r="C179" s="8" t="n">
        <x:v>46307</x:v>
      </x:c>
      <x:c r="D179" s="12" t="n">
        <x:v>40</x:v>
      </x:c>
      <x:c r="E179" s="12" t="n">
        <x:f>SUMIFS('Assignments'!$E$2:$E$353,'Assignments'!$A$2:$A$353,A179,'Assignments'!$B$2:$B$353,C179)</x:f>
        <x:v>34</x:v>
      </x:c>
      <x:c r="F179" s="12" t="n">
        <x:f>D179-E179</x:f>
        <x:v>6</x:v>
      </x:c>
      <x:c r="G179" s="14" t="n">
        <x:f>E179/D179</x:f>
        <x:v>0.85</x:v>
      </x:c>
    </x:row>
    <x:row r="180" ht="40" customHeight="1">
      <x:c r="A180" s="6" t="str">
        <x:v>FW-E045</x:v>
      </x:c>
      <x:c r="B180" s="6" t="str">
        <x:v>Emma Lin</x:v>
      </x:c>
      <x:c r="C180" s="7" t="n">
        <x:v>46337</x:v>
      </x:c>
      <x:c r="D180" s="11" t="n">
        <x:v>40</x:v>
      </x:c>
      <x:c r="E180" s="11" t="n">
        <x:f>SUMIFS('Assignments'!$E$2:$E$353,'Assignments'!$A$2:$A$353,A180,'Assignments'!$B$2:$B$353,C180)</x:f>
        <x:v>30</x:v>
      </x:c>
      <x:c r="F180" s="11" t="n">
        <x:f>D180-E180</x:f>
        <x:v>10</x:v>
      </x:c>
      <x:c r="G180" s="13" t="n">
        <x:f>E180/D180</x:f>
        <x:v>0.75</x:v>
      </x:c>
    </x:row>
    <x:row r="181" ht="40" customHeight="1">
      <x:c r="A181" s="3" t="str">
        <x:v>FW-E045</x:v>
      </x:c>
      <x:c r="B181" s="3" t="str">
        <x:v>Emma Lin</x:v>
      </x:c>
      <x:c r="C181" s="8" t="n">
        <x:v>46367</x:v>
      </x:c>
      <x:c r="D181" s="12" t="n">
        <x:v>40</x:v>
      </x:c>
      <x:c r="E181" s="12" t="n">
        <x:f>SUMIFS('Assignments'!$E$2:$E$353,'Assignments'!$A$2:$A$353,A181,'Assignments'!$B$2:$B$353,C181)</x:f>
        <x:v>28</x:v>
      </x:c>
      <x:c r="F181" s="12" t="n">
        <x:f>D181-E181</x:f>
        <x:v>12</x:v>
      </x:c>
      <x:c r="G181" s="14" t="n">
        <x:f>E181/D181</x:f>
        <x:v>0.7</x:v>
      </x:c>
    </x:row>
    <x:row r="182" ht="40" customHeight="1">
      <x:c r="A182" s="6" t="str">
        <x:v>FW-E046</x:v>
      </x:c>
      <x:c r="B182" s="6" t="str">
        <x:v>Oliver Grant</x:v>
      </x:c>
      <x:c r="C182" s="7" t="n">
        <x:v>46277</x:v>
      </x:c>
      <x:c r="D182" s="11" t="n">
        <x:v>40</x:v>
      </x:c>
      <x:c r="E182" s="11" t="n">
        <x:f>SUMIFS('Assignments'!$E$2:$E$353,'Assignments'!$A$2:$A$353,A182,'Assignments'!$B$2:$B$353,C182)</x:f>
        <x:v>33.2</x:v>
      </x:c>
      <x:c r="F182" s="11" t="n">
        <x:f>D182-E182</x:f>
        <x:v>6.799999999999997</x:v>
      </x:c>
      <x:c r="G182" s="13" t="n">
        <x:f>E182/D182</x:f>
        <x:v>0.8300000000000001</x:v>
      </x:c>
    </x:row>
    <x:row r="183" ht="40" customHeight="1">
      <x:c r="A183" s="3" t="str">
        <x:v>FW-E046</x:v>
      </x:c>
      <x:c r="B183" s="3" t="str">
        <x:v>Oliver Grant</x:v>
      </x:c>
      <x:c r="C183" s="8" t="n">
        <x:v>46307</x:v>
      </x:c>
      <x:c r="D183" s="12" t="n">
        <x:v>40</x:v>
      </x:c>
      <x:c r="E183" s="12" t="n">
        <x:f>SUMIFS('Assignments'!$E$2:$E$353,'Assignments'!$A$2:$A$353,A183,'Assignments'!$B$2:$B$353,C183)</x:f>
        <x:v>34</x:v>
      </x:c>
      <x:c r="F183" s="12" t="n">
        <x:f>D183-E183</x:f>
        <x:v>6</x:v>
      </x:c>
      <x:c r="G183" s="14" t="n">
        <x:f>E183/D183</x:f>
        <x:v>0.85</x:v>
      </x:c>
    </x:row>
    <x:row r="184" ht="40" customHeight="1">
      <x:c r="A184" s="6" t="str">
        <x:v>FW-E046</x:v>
      </x:c>
      <x:c r="B184" s="6" t="str">
        <x:v>Oliver Grant</x:v>
      </x:c>
      <x:c r="C184" s="7" t="n">
        <x:v>46337</x:v>
      </x:c>
      <x:c r="D184" s="11" t="n">
        <x:v>40</x:v>
      </x:c>
      <x:c r="E184" s="11" t="n">
        <x:f>SUMIFS('Assignments'!$E$2:$E$353,'Assignments'!$A$2:$A$353,A184,'Assignments'!$B$2:$B$353,C184)</x:f>
        <x:v>30</x:v>
      </x:c>
      <x:c r="F184" s="11" t="n">
        <x:f>D184-E184</x:f>
        <x:v>10</x:v>
      </x:c>
      <x:c r="G184" s="13" t="n">
        <x:f>E184/D184</x:f>
        <x:v>0.75</x:v>
      </x:c>
    </x:row>
    <x:row r="185" ht="40" customHeight="1">
      <x:c r="A185" s="3" t="str">
        <x:v>FW-E046</x:v>
      </x:c>
      <x:c r="B185" s="3" t="str">
        <x:v>Oliver Grant</x:v>
      </x:c>
      <x:c r="C185" s="8" t="n">
        <x:v>46367</x:v>
      </x:c>
      <x:c r="D185" s="12" t="n">
        <x:v>40</x:v>
      </x:c>
      <x:c r="E185" s="12" t="n">
        <x:f>SUMIFS('Assignments'!$E$2:$E$353,'Assignments'!$A$2:$A$353,A185,'Assignments'!$B$2:$B$353,C185)</x:f>
        <x:v>28</x:v>
      </x:c>
      <x:c r="F185" s="12" t="n">
        <x:f>D185-E185</x:f>
        <x:v>12</x:v>
      </x:c>
      <x:c r="G185" s="14" t="n">
        <x:f>E185/D185</x:f>
        <x:v>0.7</x:v>
      </x:c>
    </x:row>
    <x:row r="186" ht="40" customHeight="1">
      <x:c r="A186" s="6" t="str">
        <x:v>FW-E047</x:v>
      </x:c>
      <x:c r="B186" s="6" t="str">
        <x:v>Chloe Banks</x:v>
      </x:c>
      <x:c r="C186" s="7" t="n">
        <x:v>46277</x:v>
      </x:c>
      <x:c r="D186" s="11" t="n">
        <x:v>40</x:v>
      </x:c>
      <x:c r="E186" s="11" t="n">
        <x:f>SUMIFS('Assignments'!$E$2:$E$353,'Assignments'!$A$2:$A$353,A186,'Assignments'!$B$2:$B$353,C186)</x:f>
        <x:v>33.2</x:v>
      </x:c>
      <x:c r="F186" s="11" t="n">
        <x:f>D186-E186</x:f>
        <x:v>6.799999999999997</x:v>
      </x:c>
      <x:c r="G186" s="13" t="n">
        <x:f>E186/D186</x:f>
        <x:v>0.8300000000000001</x:v>
      </x:c>
    </x:row>
    <x:row r="187" ht="40" customHeight="1">
      <x:c r="A187" s="3" t="str">
        <x:v>FW-E047</x:v>
      </x:c>
      <x:c r="B187" s="3" t="str">
        <x:v>Chloe Banks</x:v>
      </x:c>
      <x:c r="C187" s="8" t="n">
        <x:v>46307</x:v>
      </x:c>
      <x:c r="D187" s="12" t="n">
        <x:v>40</x:v>
      </x:c>
      <x:c r="E187" s="12" t="n">
        <x:f>SUMIFS('Assignments'!$E$2:$E$353,'Assignments'!$A$2:$A$353,A187,'Assignments'!$B$2:$B$353,C187)</x:f>
        <x:v>34</x:v>
      </x:c>
      <x:c r="F187" s="12" t="n">
        <x:f>D187-E187</x:f>
        <x:v>6</x:v>
      </x:c>
      <x:c r="G187" s="14" t="n">
        <x:f>E187/D187</x:f>
        <x:v>0.85</x:v>
      </x:c>
    </x:row>
    <x:row r="188" ht="40" customHeight="1">
      <x:c r="A188" s="6" t="str">
        <x:v>FW-E047</x:v>
      </x:c>
      <x:c r="B188" s="6" t="str">
        <x:v>Chloe Banks</x:v>
      </x:c>
      <x:c r="C188" s="7" t="n">
        <x:v>46337</x:v>
      </x:c>
      <x:c r="D188" s="11" t="n">
        <x:v>40</x:v>
      </x:c>
      <x:c r="E188" s="11" t="n">
        <x:f>SUMIFS('Assignments'!$E$2:$E$353,'Assignments'!$A$2:$A$353,A188,'Assignments'!$B$2:$B$353,C188)</x:f>
        <x:v>30</x:v>
      </x:c>
      <x:c r="F188" s="11" t="n">
        <x:f>D188-E188</x:f>
        <x:v>10</x:v>
      </x:c>
      <x:c r="G188" s="13" t="n">
        <x:f>E188/D188</x:f>
        <x:v>0.75</x:v>
      </x:c>
    </x:row>
    <x:row r="189" ht="40" customHeight="1">
      <x:c r="A189" s="3" t="str">
        <x:v>FW-E047</x:v>
      </x:c>
      <x:c r="B189" s="3" t="str">
        <x:v>Chloe Banks</x:v>
      </x:c>
      <x:c r="C189" s="8" t="n">
        <x:v>46367</x:v>
      </x:c>
      <x:c r="D189" s="12" t="n">
        <x:v>40</x:v>
      </x:c>
      <x:c r="E189" s="12" t="n">
        <x:f>SUMIFS('Assignments'!$E$2:$E$353,'Assignments'!$A$2:$A$353,A189,'Assignments'!$B$2:$B$353,C189)</x:f>
        <x:v>28</x:v>
      </x:c>
      <x:c r="F189" s="12" t="n">
        <x:f>D189-E189</x:f>
        <x:v>12</x:v>
      </x:c>
      <x:c r="G189" s="14" t="n">
        <x:f>E189/D189</x:f>
        <x:v>0.7</x:v>
      </x:c>
    </x:row>
  </x:sheetData>
  <x:conditionalFormatting sqref="G2:G189">
    <x:cfRule type="cellIs" dxfId="0" priority="1" operator="greaterThanOrEqual">
      <x:formula>0.9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58567a5a314db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3" hidden="0" customWidth="1"/>
    <x:col min="4" max="4" width="34" hidden="0" customWidth="1"/>
    <x:col min="5" max="5" width="20" hidden="0" customWidth="1"/>
  </x:cols>
  <x:sheetData>
    <x:row r="1" ht="34" customHeight="1">
      <x:c r="A1" s="5" t="str">
        <x:v>Employee ID</x:v>
      </x:c>
      <x:c r="B1" s="5" t="str">
        <x:v>Snapshot date</x:v>
      </x:c>
      <x:c r="C1" s="5" t="str">
        <x:v>Project / internal ID</x:v>
      </x:c>
      <x:c r="D1" s="5" t="str">
        <x:v>Commitment type</x:v>
      </x:c>
      <x:c r="E1" s="5" t="str">
        <x:v>Weekly hours</x:v>
      </x:c>
    </x:row>
    <x:row r="2" ht="40" customHeight="1">
      <x:c r="A2" s="6" t="str">
        <x:v>FW-E001</x:v>
      </x:c>
      <x:c r="B2" s="7" t="n">
        <x:v>46277</x:v>
      </x:c>
      <x:c r="C2" s="6" t="str">
        <x:v>FW-P160</x:v>
      </x:c>
      <x:c r="D2" s="6" t="str">
        <x:v>Contracted project work</x:v>
      </x:c>
      <x:c r="E2" s="11" t="n">
        <x:v>27.2</x:v>
      </x:c>
    </x:row>
    <x:row r="3" ht="40" customHeight="1">
      <x:c r="A3" s="3" t="str">
        <x:v>FW-E001</x:v>
      </x:c>
      <x:c r="B3" s="8" t="n">
        <x:v>46277</x:v>
      </x:c>
      <x:c r="C3" s="3" t="str">
        <x:v>INTERNAL</x:v>
      </x:c>
      <x:c r="D3" s="3" t="str">
        <x:v>Practice / pursuit allowance</x:v>
      </x:c>
      <x:c r="E3" s="12" t="n">
        <x:v>4</x:v>
      </x:c>
    </x:row>
    <x:row r="4" ht="40" customHeight="1">
      <x:c r="A4" s="6" t="str">
        <x:v>FW-E001</x:v>
      </x:c>
      <x:c r="B4" s="7" t="n">
        <x:v>46307</x:v>
      </x:c>
      <x:c r="C4" s="6" t="str">
        <x:v>FW-P160</x:v>
      </x:c>
      <x:c r="D4" s="6" t="str">
        <x:v>Contracted project work</x:v>
      </x:c>
      <x:c r="E4" s="11" t="n">
        <x:v>24</x:v>
      </x:c>
    </x:row>
    <x:row r="5" ht="40" customHeight="1">
      <x:c r="A5" s="3" t="str">
        <x:v>FW-E001</x:v>
      </x:c>
      <x:c r="B5" s="8" t="n">
        <x:v>46307</x:v>
      </x:c>
      <x:c r="C5" s="3" t="str">
        <x:v>INTERNAL</x:v>
      </x:c>
      <x:c r="D5" s="3" t="str">
        <x:v>Practice / pursuit allowance</x:v>
      </x:c>
      <x:c r="E5" s="12" t="n">
        <x:v>4</x:v>
      </x:c>
    </x:row>
    <x:row r="6" ht="40" customHeight="1">
      <x:c r="A6" s="6" t="str">
        <x:v>FW-E001</x:v>
      </x:c>
      <x:c r="B6" s="7" t="n">
        <x:v>46337</x:v>
      </x:c>
      <x:c r="C6" s="6" t="str">
        <x:v>FW-P160</x:v>
      </x:c>
      <x:c r="D6" s="6" t="str">
        <x:v>Contracted project work</x:v>
      </x:c>
      <x:c r="E6" s="11" t="n">
        <x:v>20.4</x:v>
      </x:c>
    </x:row>
    <x:row r="7" ht="40" customHeight="1">
      <x:c r="A7" s="3" t="str">
        <x:v>FW-E001</x:v>
      </x:c>
      <x:c r="B7" s="8" t="n">
        <x:v>46337</x:v>
      </x:c>
      <x:c r="C7" s="3" t="str">
        <x:v>INTERNAL</x:v>
      </x:c>
      <x:c r="D7" s="3" t="str">
        <x:v>Practice / pursuit allowance</x:v>
      </x:c>
      <x:c r="E7" s="12" t="n">
        <x:v>4</x:v>
      </x:c>
    </x:row>
    <x:row r="8" ht="40" customHeight="1">
      <x:c r="A8" s="6" t="str">
        <x:v>FW-E001</x:v>
      </x:c>
      <x:c r="B8" s="7" t="n">
        <x:v>46367</x:v>
      </x:c>
      <x:c r="C8" s="6" t="str">
        <x:v>FW-P160</x:v>
      </x:c>
      <x:c r="D8" s="6" t="str">
        <x:v>Contracted project work</x:v>
      </x:c>
      <x:c r="E8" s="11" t="n">
        <x:v>18.4</x:v>
      </x:c>
    </x:row>
    <x:row r="9" ht="40" customHeight="1">
      <x:c r="A9" s="3" t="str">
        <x:v>FW-E001</x:v>
      </x:c>
      <x:c r="B9" s="8" t="n">
        <x:v>46367</x:v>
      </x:c>
      <x:c r="C9" s="3" t="str">
        <x:v>INTERNAL</x:v>
      </x:c>
      <x:c r="D9" s="3" t="str">
        <x:v>Practice / pursuit allowance</x:v>
      </x:c>
      <x:c r="E9" s="12" t="n">
        <x:v>4</x:v>
      </x:c>
    </x:row>
    <x:row r="10" ht="40" customHeight="1">
      <x:c r="A10" s="6" t="str">
        <x:v>FW-E002</x:v>
      </x:c>
      <x:c r="B10" s="7" t="n">
        <x:v>46277</x:v>
      </x:c>
      <x:c r="C10" s="6" t="str">
        <x:v>FW-P161</x:v>
      </x:c>
      <x:c r="D10" s="6" t="str">
        <x:v>Contracted project work</x:v>
      </x:c>
      <x:c r="E10" s="11" t="n">
        <x:v>30.4</x:v>
      </x:c>
    </x:row>
    <x:row r="11" ht="40" customHeight="1">
      <x:c r="A11" s="3" t="str">
        <x:v>FW-E002</x:v>
      </x:c>
      <x:c r="B11" s="8" t="n">
        <x:v>46277</x:v>
      </x:c>
      <x:c r="C11" s="3" t="str">
        <x:v>INTERNAL</x:v>
      </x:c>
      <x:c r="D11" s="3" t="str">
        <x:v>Practice / pursuit allowance</x:v>
      </x:c>
      <x:c r="E11" s="12" t="n">
        <x:v>4</x:v>
      </x:c>
    </x:row>
    <x:row r="12" ht="40" customHeight="1">
      <x:c r="A12" s="6" t="str">
        <x:v>FW-E002</x:v>
      </x:c>
      <x:c r="B12" s="7" t="n">
        <x:v>46307</x:v>
      </x:c>
      <x:c r="C12" s="6" t="str">
        <x:v>FW-P161</x:v>
      </x:c>
      <x:c r="D12" s="6" t="str">
        <x:v>Contracted project work</x:v>
      </x:c>
      <x:c r="E12" s="11" t="n">
        <x:v>31.6</x:v>
      </x:c>
    </x:row>
    <x:row r="13" ht="40" customHeight="1">
      <x:c r="A13" s="3" t="str">
        <x:v>FW-E002</x:v>
      </x:c>
      <x:c r="B13" s="8" t="n">
        <x:v>46307</x:v>
      </x:c>
      <x:c r="C13" s="3" t="str">
        <x:v>INTERNAL</x:v>
      </x:c>
      <x:c r="D13" s="3" t="str">
        <x:v>Practice / pursuit allowance</x:v>
      </x:c>
      <x:c r="E13" s="12" t="n">
        <x:v>4</x:v>
      </x:c>
    </x:row>
    <x:row r="14" ht="40" customHeight="1">
      <x:c r="A14" s="6" t="str">
        <x:v>FW-E002</x:v>
      </x:c>
      <x:c r="B14" s="7" t="n">
        <x:v>46337</x:v>
      </x:c>
      <x:c r="C14" s="6" t="str">
        <x:v>FW-P161</x:v>
      </x:c>
      <x:c r="D14" s="6" t="str">
        <x:v>Contracted project work</x:v>
      </x:c>
      <x:c r="E14" s="11" t="n">
        <x:v>24.8</x:v>
      </x:c>
    </x:row>
    <x:row r="15" ht="40" customHeight="1">
      <x:c r="A15" s="3" t="str">
        <x:v>FW-E002</x:v>
      </x:c>
      <x:c r="B15" s="8" t="n">
        <x:v>46337</x:v>
      </x:c>
      <x:c r="C15" s="3" t="str">
        <x:v>INTERNAL</x:v>
      </x:c>
      <x:c r="D15" s="3" t="str">
        <x:v>Practice / pursuit allowance</x:v>
      </x:c>
      <x:c r="E15" s="12" t="n">
        <x:v>4</x:v>
      </x:c>
    </x:row>
    <x:row r="16" ht="40" customHeight="1">
      <x:c r="A16" s="6" t="str">
        <x:v>FW-E002</x:v>
      </x:c>
      <x:c r="B16" s="7" t="n">
        <x:v>46367</x:v>
      </x:c>
      <x:c r="C16" s="6" t="str">
        <x:v>FW-P161</x:v>
      </x:c>
      <x:c r="D16" s="6" t="str">
        <x:v>Contracted project work</x:v>
      </x:c>
      <x:c r="E16" s="11" t="n">
        <x:v>22.8</x:v>
      </x:c>
    </x:row>
    <x:row r="17" ht="40" customHeight="1">
      <x:c r="A17" s="3" t="str">
        <x:v>FW-E002</x:v>
      </x:c>
      <x:c r="B17" s="8" t="n">
        <x:v>46367</x:v>
      </x:c>
      <x:c r="C17" s="3" t="str">
        <x:v>INTERNAL</x:v>
      </x:c>
      <x:c r="D17" s="3" t="str">
        <x:v>Practice / pursuit allowance</x:v>
      </x:c>
      <x:c r="E17" s="12" t="n">
        <x:v>4</x:v>
      </x:c>
    </x:row>
    <x:row r="18" ht="40" customHeight="1">
      <x:c r="A18" s="6" t="str">
        <x:v>FW-E003</x:v>
      </x:c>
      <x:c r="B18" s="7" t="n">
        <x:v>46277</x:v>
      </x:c>
      <x:c r="C18" s="6" t="str">
        <x:v>FW-P162</x:v>
      </x:c>
      <x:c r="D18" s="6" t="str">
        <x:v>Contracted project work</x:v>
      </x:c>
      <x:c r="E18" s="11" t="n">
        <x:v>23.6</x:v>
      </x:c>
    </x:row>
    <x:row r="19" ht="40" customHeight="1">
      <x:c r="A19" s="3" t="str">
        <x:v>FW-E003</x:v>
      </x:c>
      <x:c r="B19" s="8" t="n">
        <x:v>46277</x:v>
      </x:c>
      <x:c r="C19" s="3" t="str">
        <x:v>INTERNAL</x:v>
      </x:c>
      <x:c r="D19" s="3" t="str">
        <x:v>Practice / pursuit allowance</x:v>
      </x:c>
      <x:c r="E19" s="12" t="n">
        <x:v>4</x:v>
      </x:c>
    </x:row>
    <x:row r="20" ht="40" customHeight="1">
      <x:c r="A20" s="6" t="str">
        <x:v>FW-E003</x:v>
      </x:c>
      <x:c r="B20" s="7" t="n">
        <x:v>46307</x:v>
      </x:c>
      <x:c r="C20" s="6" t="str">
        <x:v>FW-P162</x:v>
      </x:c>
      <x:c r="D20" s="6" t="str">
        <x:v>Contracted project work</x:v>
      </x:c>
      <x:c r="E20" s="11" t="n">
        <x:v>24</x:v>
      </x:c>
    </x:row>
    <x:row r="21" ht="40" customHeight="1">
      <x:c r="A21" s="3" t="str">
        <x:v>FW-E003</x:v>
      </x:c>
      <x:c r="B21" s="8" t="n">
        <x:v>46307</x:v>
      </x:c>
      <x:c r="C21" s="3" t="str">
        <x:v>INTERNAL</x:v>
      </x:c>
      <x:c r="D21" s="3" t="str">
        <x:v>Practice / pursuit allowance</x:v>
      </x:c>
      <x:c r="E21" s="12" t="n">
        <x:v>4</x:v>
      </x:c>
    </x:row>
    <x:row r="22" ht="40" customHeight="1">
      <x:c r="A22" s="6" t="str">
        <x:v>FW-E003</x:v>
      </x:c>
      <x:c r="B22" s="7" t="n">
        <x:v>46337</x:v>
      </x:c>
      <x:c r="C22" s="6" t="str">
        <x:v>FW-P162</x:v>
      </x:c>
      <x:c r="D22" s="6" t="str">
        <x:v>Contracted project work</x:v>
      </x:c>
      <x:c r="E22" s="11" t="n">
        <x:v>19.2</x:v>
      </x:c>
    </x:row>
    <x:row r="23" ht="40" customHeight="1">
      <x:c r="A23" s="3" t="str">
        <x:v>FW-E003</x:v>
      </x:c>
      <x:c r="B23" s="8" t="n">
        <x:v>46337</x:v>
      </x:c>
      <x:c r="C23" s="3" t="str">
        <x:v>INTERNAL</x:v>
      </x:c>
      <x:c r="D23" s="3" t="str">
        <x:v>Practice / pursuit allowance</x:v>
      </x:c>
      <x:c r="E23" s="12" t="n">
        <x:v>4</x:v>
      </x:c>
    </x:row>
    <x:row r="24" ht="40" customHeight="1">
      <x:c r="A24" s="6" t="str">
        <x:v>FW-E003</x:v>
      </x:c>
      <x:c r="B24" s="7" t="n">
        <x:v>46367</x:v>
      </x:c>
      <x:c r="C24" s="6" t="str">
        <x:v>FW-P162</x:v>
      </x:c>
      <x:c r="D24" s="6" t="str">
        <x:v>Contracted project work</x:v>
      </x:c>
      <x:c r="E24" s="11" t="n">
        <x:v>17.2</x:v>
      </x:c>
    </x:row>
    <x:row r="25" ht="40" customHeight="1">
      <x:c r="A25" s="3" t="str">
        <x:v>FW-E003</x:v>
      </x:c>
      <x:c r="B25" s="8" t="n">
        <x:v>46367</x:v>
      </x:c>
      <x:c r="C25" s="3" t="str">
        <x:v>INTERNAL</x:v>
      </x:c>
      <x:c r="D25" s="3" t="str">
        <x:v>Practice / pursuit allowance</x:v>
      </x:c>
      <x:c r="E25" s="12" t="n">
        <x:v>4</x:v>
      </x:c>
    </x:row>
    <x:row r="26" ht="40" customHeight="1">
      <x:c r="A26" s="6" t="str">
        <x:v>FW-E004</x:v>
      </x:c>
      <x:c r="B26" s="7" t="n">
        <x:v>46277</x:v>
      </x:c>
      <x:c r="C26" s="6" t="str">
        <x:v>FW-P163</x:v>
      </x:c>
      <x:c r="D26" s="6" t="str">
        <x:v>Contracted project work</x:v>
      </x:c>
      <x:c r="E26" s="11" t="n">
        <x:v>32.4</x:v>
      </x:c>
    </x:row>
    <x:row r="27" ht="40" customHeight="1">
      <x:c r="A27" s="3" t="str">
        <x:v>FW-E004</x:v>
      </x:c>
      <x:c r="B27" s="8" t="n">
        <x:v>46277</x:v>
      </x:c>
      <x:c r="C27" s="3" t="str">
        <x:v>INTERNAL</x:v>
      </x:c>
      <x:c r="D27" s="3" t="str">
        <x:v>Practice / pursuit allowance</x:v>
      </x:c>
      <x:c r="E27" s="12" t="n">
        <x:v>4</x:v>
      </x:c>
    </x:row>
    <x:row r="28" ht="40" customHeight="1">
      <x:c r="A28" s="6" t="str">
        <x:v>FW-E004</x:v>
      </x:c>
      <x:c r="B28" s="7" t="n">
        <x:v>46307</x:v>
      </x:c>
      <x:c r="C28" s="6" t="str">
        <x:v>FW-P163</x:v>
      </x:c>
      <x:c r="D28" s="6" t="str">
        <x:v>Contracted project work</x:v>
      </x:c>
      <x:c r="E28" s="11" t="n">
        <x:v>33.6</x:v>
      </x:c>
    </x:row>
    <x:row r="29" ht="40" customHeight="1">
      <x:c r="A29" s="3" t="str">
        <x:v>FW-E004</x:v>
      </x:c>
      <x:c r="B29" s="8" t="n">
        <x:v>46307</x:v>
      </x:c>
      <x:c r="C29" s="3" t="str">
        <x:v>INTERNAL</x:v>
      </x:c>
      <x:c r="D29" s="3" t="str">
        <x:v>Practice / pursuit allowance</x:v>
      </x:c>
      <x:c r="E29" s="12" t="n">
        <x:v>4</x:v>
      </x:c>
    </x:row>
    <x:row r="30" ht="40" customHeight="1">
      <x:c r="A30" s="6" t="str">
        <x:v>FW-E004</x:v>
      </x:c>
      <x:c r="B30" s="7" t="n">
        <x:v>46337</x:v>
      </x:c>
      <x:c r="C30" s="6" t="str">
        <x:v>FW-P163</x:v>
      </x:c>
      <x:c r="D30" s="6" t="str">
        <x:v>Contracted project work</x:v>
      </x:c>
      <x:c r="E30" s="11" t="n">
        <x:v>21.2</x:v>
      </x:c>
    </x:row>
    <x:row r="31" ht="40" customHeight="1">
      <x:c r="A31" s="3" t="str">
        <x:v>FW-E004</x:v>
      </x:c>
      <x:c r="B31" s="8" t="n">
        <x:v>46337</x:v>
      </x:c>
      <x:c r="C31" s="3" t="str">
        <x:v>INTERNAL</x:v>
      </x:c>
      <x:c r="D31" s="3" t="str">
        <x:v>Practice / pursuit allowance</x:v>
      </x:c>
      <x:c r="E31" s="12" t="n">
        <x:v>4</x:v>
      </x:c>
    </x:row>
    <x:row r="32" ht="40" customHeight="1">
      <x:c r="A32" s="6" t="str">
        <x:v>FW-E004</x:v>
      </x:c>
      <x:c r="B32" s="7" t="n">
        <x:v>46367</x:v>
      </x:c>
      <x:c r="C32" s="6" t="str">
        <x:v>FW-P163</x:v>
      </x:c>
      <x:c r="D32" s="6" t="str">
        <x:v>Contracted project work</x:v>
      </x:c>
      <x:c r="E32" s="11" t="n">
        <x:v>19.2</x:v>
      </x:c>
    </x:row>
    <x:row r="33" ht="40" customHeight="1">
      <x:c r="A33" s="3" t="str">
        <x:v>FW-E004</x:v>
      </x:c>
      <x:c r="B33" s="8" t="n">
        <x:v>46367</x:v>
      </x:c>
      <x:c r="C33" s="3" t="str">
        <x:v>INTERNAL</x:v>
      </x:c>
      <x:c r="D33" s="3" t="str">
        <x:v>Practice / pursuit allowance</x:v>
      </x:c>
      <x:c r="E33" s="12" t="n">
        <x:v>4</x:v>
      </x:c>
    </x:row>
    <x:row r="34" ht="40" customHeight="1">
      <x:c r="A34" s="6" t="str">
        <x:v>FW-E005</x:v>
      </x:c>
      <x:c r="B34" s="7" t="n">
        <x:v>46277</x:v>
      </x:c>
      <x:c r="C34" s="6" t="str">
        <x:v>FW-P164</x:v>
      </x:c>
      <x:c r="D34" s="6" t="str">
        <x:v>Contracted project work</x:v>
      </x:c>
      <x:c r="E34" s="11" t="n">
        <x:v>22.8</x:v>
      </x:c>
    </x:row>
    <x:row r="35" ht="40" customHeight="1">
      <x:c r="A35" s="3" t="str">
        <x:v>FW-E005</x:v>
      </x:c>
      <x:c r="B35" s="8" t="n">
        <x:v>46277</x:v>
      </x:c>
      <x:c r="C35" s="3" t="str">
        <x:v>INTERNAL</x:v>
      </x:c>
      <x:c r="D35" s="3" t="str">
        <x:v>Practice / pursuit allowance</x:v>
      </x:c>
      <x:c r="E35" s="12" t="n">
        <x:v>4</x:v>
      </x:c>
    </x:row>
    <x:row r="36" ht="40" customHeight="1">
      <x:c r="A36" s="6" t="str">
        <x:v>FW-E005</x:v>
      </x:c>
      <x:c r="B36" s="7" t="n">
        <x:v>46307</x:v>
      </x:c>
      <x:c r="C36" s="6" t="str">
        <x:v>FW-P164</x:v>
      </x:c>
      <x:c r="D36" s="6" t="str">
        <x:v>Contracted project work</x:v>
      </x:c>
      <x:c r="E36" s="11" t="n">
        <x:v>23.6</x:v>
      </x:c>
    </x:row>
    <x:row r="37" ht="40" customHeight="1">
      <x:c r="A37" s="3" t="str">
        <x:v>FW-E005</x:v>
      </x:c>
      <x:c r="B37" s="8" t="n">
        <x:v>46307</x:v>
      </x:c>
      <x:c r="C37" s="3" t="str">
        <x:v>INTERNAL</x:v>
      </x:c>
      <x:c r="D37" s="3" t="str">
        <x:v>Practice / pursuit allowance</x:v>
      </x:c>
      <x:c r="E37" s="12" t="n">
        <x:v>4</x:v>
      </x:c>
    </x:row>
    <x:row r="38" ht="40" customHeight="1">
      <x:c r="A38" s="6" t="str">
        <x:v>FW-E005</x:v>
      </x:c>
      <x:c r="B38" s="7" t="n">
        <x:v>46337</x:v>
      </x:c>
      <x:c r="C38" s="6" t="str">
        <x:v>FW-P164</x:v>
      </x:c>
      <x:c r="D38" s="6" t="str">
        <x:v>Contracted project work</x:v>
      </x:c>
      <x:c r="E38" s="11" t="n">
        <x:v>17.6</x:v>
      </x:c>
    </x:row>
    <x:row r="39" ht="40" customHeight="1">
      <x:c r="A39" s="3" t="str">
        <x:v>FW-E005</x:v>
      </x:c>
      <x:c r="B39" s="8" t="n">
        <x:v>46337</x:v>
      </x:c>
      <x:c r="C39" s="3" t="str">
        <x:v>INTERNAL</x:v>
      </x:c>
      <x:c r="D39" s="3" t="str">
        <x:v>Practice / pursuit allowance</x:v>
      </x:c>
      <x:c r="E39" s="12" t="n">
        <x:v>4</x:v>
      </x:c>
    </x:row>
    <x:row r="40" ht="40" customHeight="1">
      <x:c r="A40" s="6" t="str">
        <x:v>FW-E005</x:v>
      </x:c>
      <x:c r="B40" s="7" t="n">
        <x:v>46367</x:v>
      </x:c>
      <x:c r="C40" s="6" t="str">
        <x:v>FW-P164</x:v>
      </x:c>
      <x:c r="D40" s="6" t="str">
        <x:v>Contracted project work</x:v>
      </x:c>
      <x:c r="E40" s="11" t="n">
        <x:v>15.6</x:v>
      </x:c>
    </x:row>
    <x:row r="41" ht="40" customHeight="1">
      <x:c r="A41" s="3" t="str">
        <x:v>FW-E005</x:v>
      </x:c>
      <x:c r="B41" s="8" t="n">
        <x:v>46367</x:v>
      </x:c>
      <x:c r="C41" s="3" t="str">
        <x:v>INTERNAL</x:v>
      </x:c>
      <x:c r="D41" s="3" t="str">
        <x:v>Practice / pursuit allowance</x:v>
      </x:c>
      <x:c r="E41" s="12" t="n">
        <x:v>4</x:v>
      </x:c>
    </x:row>
    <x:row r="42" ht="40" customHeight="1">
      <x:c r="A42" s="6" t="str">
        <x:v>FW-E006</x:v>
      </x:c>
      <x:c r="B42" s="7" t="n">
        <x:v>46277</x:v>
      </x:c>
      <x:c r="C42" s="6" t="str">
        <x:v>FW-P139</x:v>
      </x:c>
      <x:c r="D42" s="6" t="str">
        <x:v>Contracted project work</x:v>
      </x:c>
      <x:c r="E42" s="11" t="n">
        <x:v>22.8</x:v>
      </x:c>
    </x:row>
    <x:row r="43" ht="40" customHeight="1">
      <x:c r="A43" s="3" t="str">
        <x:v>FW-E006</x:v>
      </x:c>
      <x:c r="B43" s="8" t="n">
        <x:v>46277</x:v>
      </x:c>
      <x:c r="C43" s="3" t="str">
        <x:v>INTERNAL</x:v>
      </x:c>
      <x:c r="D43" s="3" t="str">
        <x:v>Practice / pursuit allowance</x:v>
      </x:c>
      <x:c r="E43" s="12" t="n">
        <x:v>2</x:v>
      </x:c>
    </x:row>
    <x:row r="44" ht="40" customHeight="1">
      <x:c r="A44" s="6" t="str">
        <x:v>FW-E006</x:v>
      </x:c>
      <x:c r="B44" s="7" t="n">
        <x:v>46307</x:v>
      </x:c>
      <x:c r="C44" s="6" t="str">
        <x:v>FW-P139</x:v>
      </x:c>
      <x:c r="D44" s="6" t="str">
        <x:v>Contracted project work</x:v>
      </x:c>
      <x:c r="E44" s="11" t="n">
        <x:v>24.8</x:v>
      </x:c>
    </x:row>
    <x:row r="45" ht="40" customHeight="1">
      <x:c r="A45" s="3" t="str">
        <x:v>FW-E006</x:v>
      </x:c>
      <x:c r="B45" s="8" t="n">
        <x:v>46307</x:v>
      </x:c>
      <x:c r="C45" s="3" t="str">
        <x:v>INTERNAL</x:v>
      </x:c>
      <x:c r="D45" s="3" t="str">
        <x:v>Practice / pursuit allowance</x:v>
      </x:c>
      <x:c r="E45" s="12" t="n">
        <x:v>2</x:v>
      </x:c>
    </x:row>
    <x:row r="46" ht="40" customHeight="1">
      <x:c r="A46" s="6" t="str">
        <x:v>FW-E006</x:v>
      </x:c>
      <x:c r="B46" s="7" t="n">
        <x:v>46337</x:v>
      </x:c>
      <x:c r="C46" s="6" t="str">
        <x:v>FW-P139</x:v>
      </x:c>
      <x:c r="D46" s="6" t="str">
        <x:v>Contracted project work</x:v>
      </x:c>
      <x:c r="E46" s="11" t="n">
        <x:v>21.2</x:v>
      </x:c>
    </x:row>
    <x:row r="47" ht="40" customHeight="1">
      <x:c r="A47" s="3" t="str">
        <x:v>FW-E006</x:v>
      </x:c>
      <x:c r="B47" s="8" t="n">
        <x:v>46337</x:v>
      </x:c>
      <x:c r="C47" s="3" t="str">
        <x:v>INTERNAL</x:v>
      </x:c>
      <x:c r="D47" s="3" t="str">
        <x:v>Practice / pursuit allowance</x:v>
      </x:c>
      <x:c r="E47" s="12" t="n">
        <x:v>2</x:v>
      </x:c>
    </x:row>
    <x:row r="48" ht="40" customHeight="1">
      <x:c r="A48" s="6" t="str">
        <x:v>FW-E006</x:v>
      </x:c>
      <x:c r="B48" s="7" t="n">
        <x:v>46367</x:v>
      </x:c>
      <x:c r="C48" s="6" t="str">
        <x:v>FW-P139</x:v>
      </x:c>
      <x:c r="D48" s="6" t="str">
        <x:v>Contracted project work</x:v>
      </x:c>
      <x:c r="E48" s="11" t="n">
        <x:v>19.2</x:v>
      </x:c>
    </x:row>
    <x:row r="49" ht="40" customHeight="1">
      <x:c r="A49" s="3" t="str">
        <x:v>FW-E006</x:v>
      </x:c>
      <x:c r="B49" s="8" t="n">
        <x:v>46367</x:v>
      </x:c>
      <x:c r="C49" s="3" t="str">
        <x:v>INTERNAL</x:v>
      </x:c>
      <x:c r="D49" s="3" t="str">
        <x:v>Practice / pursuit allowance</x:v>
      </x:c>
      <x:c r="E49" s="12" t="n">
        <x:v>2</x:v>
      </x:c>
    </x:row>
    <x:row r="50" ht="40" customHeight="1">
      <x:c r="A50" s="6" t="str">
        <x:v>FW-E007</x:v>
      </x:c>
      <x:c r="B50" s="7" t="n">
        <x:v>46277</x:v>
      </x:c>
      <x:c r="C50" s="6" t="str">
        <x:v>FW-P134</x:v>
      </x:c>
      <x:c r="D50" s="6" t="str">
        <x:v>Contracted project work</x:v>
      </x:c>
      <x:c r="E50" s="11" t="n">
        <x:v>26.4</x:v>
      </x:c>
    </x:row>
    <x:row r="51" ht="40" customHeight="1">
      <x:c r="A51" s="3" t="str">
        <x:v>FW-E007</x:v>
      </x:c>
      <x:c r="B51" s="8" t="n">
        <x:v>46277</x:v>
      </x:c>
      <x:c r="C51" s="3" t="str">
        <x:v>INTERNAL</x:v>
      </x:c>
      <x:c r="D51" s="3" t="str">
        <x:v>Practice / pursuit allowance</x:v>
      </x:c>
      <x:c r="E51" s="12" t="n">
        <x:v>2</x:v>
      </x:c>
    </x:row>
    <x:row r="52" ht="40" customHeight="1">
      <x:c r="A52" s="6" t="str">
        <x:v>FW-E007</x:v>
      </x:c>
      <x:c r="B52" s="7" t="n">
        <x:v>46307</x:v>
      </x:c>
      <x:c r="C52" s="6" t="str">
        <x:v>FW-P134</x:v>
      </x:c>
      <x:c r="D52" s="6" t="str">
        <x:v>Contracted project work</x:v>
      </x:c>
      <x:c r="E52" s="11" t="n">
        <x:v>28.4</x:v>
      </x:c>
    </x:row>
    <x:row r="53" ht="40" customHeight="1">
      <x:c r="A53" s="3" t="str">
        <x:v>FW-E007</x:v>
      </x:c>
      <x:c r="B53" s="8" t="n">
        <x:v>46307</x:v>
      </x:c>
      <x:c r="C53" s="3" t="str">
        <x:v>INTERNAL</x:v>
      </x:c>
      <x:c r="D53" s="3" t="str">
        <x:v>Practice / pursuit allowance</x:v>
      </x:c>
      <x:c r="E53" s="12" t="n">
        <x:v>2</x:v>
      </x:c>
    </x:row>
    <x:row r="54" ht="40" customHeight="1">
      <x:c r="A54" s="6" t="str">
        <x:v>FW-E007</x:v>
      </x:c>
      <x:c r="B54" s="7" t="n">
        <x:v>46337</x:v>
      </x:c>
      <x:c r="C54" s="6" t="str">
        <x:v>FW-P134</x:v>
      </x:c>
      <x:c r="D54" s="6" t="str">
        <x:v>Contracted project work</x:v>
      </x:c>
      <x:c r="E54" s="11" t="n">
        <x:v>24</x:v>
      </x:c>
    </x:row>
    <x:row r="55" ht="40" customHeight="1">
      <x:c r="A55" s="3" t="str">
        <x:v>FW-E007</x:v>
      </x:c>
      <x:c r="B55" s="8" t="n">
        <x:v>46337</x:v>
      </x:c>
      <x:c r="C55" s="3" t="str">
        <x:v>INTERNAL</x:v>
      </x:c>
      <x:c r="D55" s="3" t="str">
        <x:v>Practice / pursuit allowance</x:v>
      </x:c>
      <x:c r="E55" s="12" t="n">
        <x:v>2</x:v>
      </x:c>
    </x:row>
    <x:row r="56" ht="40" customHeight="1">
      <x:c r="A56" s="6" t="str">
        <x:v>FW-E007</x:v>
      </x:c>
      <x:c r="B56" s="7" t="n">
        <x:v>46367</x:v>
      </x:c>
      <x:c r="C56" s="6" t="str">
        <x:v>FW-P134</x:v>
      </x:c>
      <x:c r="D56" s="6" t="str">
        <x:v>Contracted project work</x:v>
      </x:c>
      <x:c r="E56" s="11" t="n">
        <x:v>22</x:v>
      </x:c>
    </x:row>
    <x:row r="57" ht="40" customHeight="1">
      <x:c r="A57" s="3" t="str">
        <x:v>FW-E007</x:v>
      </x:c>
      <x:c r="B57" s="8" t="n">
        <x:v>46367</x:v>
      </x:c>
      <x:c r="C57" s="3" t="str">
        <x:v>INTERNAL</x:v>
      </x:c>
      <x:c r="D57" s="3" t="str">
        <x:v>Practice / pursuit allowance</x:v>
      </x:c>
      <x:c r="E57" s="12" t="n">
        <x:v>2</x:v>
      </x:c>
    </x:row>
    <x:row r="58" ht="40" customHeight="1">
      <x:c r="A58" s="6" t="str">
        <x:v>FW-E008</x:v>
      </x:c>
      <x:c r="B58" s="7" t="n">
        <x:v>46277</x:v>
      </x:c>
      <x:c r="C58" s="6" t="str">
        <x:v>FW-P141</x:v>
      </x:c>
      <x:c r="D58" s="6" t="str">
        <x:v>Contracted project work</x:v>
      </x:c>
      <x:c r="E58" s="11" t="n">
        <x:v>21.6</x:v>
      </x:c>
    </x:row>
    <x:row r="59" ht="40" customHeight="1">
      <x:c r="A59" s="3" t="str">
        <x:v>FW-E008</x:v>
      </x:c>
      <x:c r="B59" s="8" t="n">
        <x:v>46277</x:v>
      </x:c>
      <x:c r="C59" s="3" t="str">
        <x:v>INTERNAL</x:v>
      </x:c>
      <x:c r="D59" s="3" t="str">
        <x:v>Practice / pursuit allowance</x:v>
      </x:c>
      <x:c r="E59" s="12" t="n">
        <x:v>2</x:v>
      </x:c>
    </x:row>
    <x:row r="60" ht="40" customHeight="1">
      <x:c r="A60" s="6" t="str">
        <x:v>FW-E008</x:v>
      </x:c>
      <x:c r="B60" s="7" t="n">
        <x:v>46307</x:v>
      </x:c>
      <x:c r="C60" s="6" t="str">
        <x:v>FW-P141</x:v>
      </x:c>
      <x:c r="D60" s="6" t="str">
        <x:v>Contracted project work</x:v>
      </x:c>
      <x:c r="E60" s="11" t="n">
        <x:v>23.6</x:v>
      </x:c>
    </x:row>
    <x:row r="61" ht="40" customHeight="1">
      <x:c r="A61" s="3" t="str">
        <x:v>FW-E008</x:v>
      </x:c>
      <x:c r="B61" s="8" t="n">
        <x:v>46307</x:v>
      </x:c>
      <x:c r="C61" s="3" t="str">
        <x:v>INTERNAL</x:v>
      </x:c>
      <x:c r="D61" s="3" t="str">
        <x:v>Practice / pursuit allowance</x:v>
      </x:c>
      <x:c r="E61" s="12" t="n">
        <x:v>2</x:v>
      </x:c>
    </x:row>
    <x:row r="62" ht="40" customHeight="1">
      <x:c r="A62" s="6" t="str">
        <x:v>FW-E008</x:v>
      </x:c>
      <x:c r="B62" s="7" t="n">
        <x:v>46337</x:v>
      </x:c>
      <x:c r="C62" s="6" t="str">
        <x:v>FW-P141</x:v>
      </x:c>
      <x:c r="D62" s="6" t="str">
        <x:v>Contracted project work</x:v>
      </x:c>
      <x:c r="E62" s="11" t="n">
        <x:v>20</x:v>
      </x:c>
    </x:row>
    <x:row r="63" ht="40" customHeight="1">
      <x:c r="A63" s="3" t="str">
        <x:v>FW-E008</x:v>
      </x:c>
      <x:c r="B63" s="8" t="n">
        <x:v>46337</x:v>
      </x:c>
      <x:c r="C63" s="3" t="str">
        <x:v>INTERNAL</x:v>
      </x:c>
      <x:c r="D63" s="3" t="str">
        <x:v>Practice / pursuit allowance</x:v>
      </x:c>
      <x:c r="E63" s="12" t="n">
        <x:v>2</x:v>
      </x:c>
    </x:row>
    <x:row r="64" ht="40" customHeight="1">
      <x:c r="A64" s="6" t="str">
        <x:v>FW-E008</x:v>
      </x:c>
      <x:c r="B64" s="7" t="n">
        <x:v>46367</x:v>
      </x:c>
      <x:c r="C64" s="6" t="str">
        <x:v>FW-P141</x:v>
      </x:c>
      <x:c r="D64" s="6" t="str">
        <x:v>Contracted project work</x:v>
      </x:c>
      <x:c r="E64" s="11" t="n">
        <x:v>18</x:v>
      </x:c>
    </x:row>
    <x:row r="65" ht="40" customHeight="1">
      <x:c r="A65" s="3" t="str">
        <x:v>FW-E008</x:v>
      </x:c>
      <x:c r="B65" s="8" t="n">
        <x:v>46367</x:v>
      </x:c>
      <x:c r="C65" s="3" t="str">
        <x:v>INTERNAL</x:v>
      </x:c>
      <x:c r="D65" s="3" t="str">
        <x:v>Practice / pursuit allowance</x:v>
      </x:c>
      <x:c r="E65" s="12" t="n">
        <x:v>2</x:v>
      </x:c>
    </x:row>
    <x:row r="66" ht="40" customHeight="1">
      <x:c r="A66" s="6" t="str">
        <x:v>FW-E009</x:v>
      </x:c>
      <x:c r="B66" s="7" t="n">
        <x:v>46277</x:v>
      </x:c>
      <x:c r="C66" s="6" t="str">
        <x:v>FW-P142</x:v>
      </x:c>
      <x:c r="D66" s="6" t="str">
        <x:v>Contracted project work</x:v>
      </x:c>
      <x:c r="E66" s="11" t="n">
        <x:v>31.6</x:v>
      </x:c>
    </x:row>
    <x:row r="67" ht="40" customHeight="1">
      <x:c r="A67" s="3" t="str">
        <x:v>FW-E009</x:v>
      </x:c>
      <x:c r="B67" s="8" t="n">
        <x:v>46277</x:v>
      </x:c>
      <x:c r="C67" s="3" t="str">
        <x:v>INTERNAL</x:v>
      </x:c>
      <x:c r="D67" s="3" t="str">
        <x:v>Practice / pursuit allowance</x:v>
      </x:c>
      <x:c r="E67" s="12" t="n">
        <x:v>2</x:v>
      </x:c>
    </x:row>
    <x:row r="68" ht="40" customHeight="1">
      <x:c r="A68" s="6" t="str">
        <x:v>FW-E009</x:v>
      </x:c>
      <x:c r="B68" s="7" t="n">
        <x:v>46307</x:v>
      </x:c>
      <x:c r="C68" s="6" t="str">
        <x:v>FW-P142</x:v>
      </x:c>
      <x:c r="D68" s="6" t="str">
        <x:v>Contracted project work</x:v>
      </x:c>
      <x:c r="E68" s="11" t="n">
        <x:v>32.4</x:v>
      </x:c>
    </x:row>
    <x:row r="69" ht="40" customHeight="1">
      <x:c r="A69" s="3" t="str">
        <x:v>FW-E009</x:v>
      </x:c>
      <x:c r="B69" s="8" t="n">
        <x:v>46307</x:v>
      </x:c>
      <x:c r="C69" s="3" t="str">
        <x:v>INTERNAL</x:v>
      </x:c>
      <x:c r="D69" s="3" t="str">
        <x:v>Practice / pursuit allowance</x:v>
      </x:c>
      <x:c r="E69" s="12" t="n">
        <x:v>2</x:v>
      </x:c>
    </x:row>
    <x:row r="70" ht="40" customHeight="1">
      <x:c r="A70" s="6" t="str">
        <x:v>FW-E009</x:v>
      </x:c>
      <x:c r="B70" s="7" t="n">
        <x:v>46337</x:v>
      </x:c>
      <x:c r="C70" s="6" t="str">
        <x:v>FW-P142</x:v>
      </x:c>
      <x:c r="D70" s="6" t="str">
        <x:v>Contracted project work</x:v>
      </x:c>
      <x:c r="E70" s="11" t="n">
        <x:v>28.4</x:v>
      </x:c>
    </x:row>
    <x:row r="71" ht="40" customHeight="1">
      <x:c r="A71" s="3" t="str">
        <x:v>FW-E009</x:v>
      </x:c>
      <x:c r="B71" s="8" t="n">
        <x:v>46337</x:v>
      </x:c>
      <x:c r="C71" s="3" t="str">
        <x:v>INTERNAL</x:v>
      </x:c>
      <x:c r="D71" s="3" t="str">
        <x:v>Practice / pursuit allowance</x:v>
      </x:c>
      <x:c r="E71" s="12" t="n">
        <x:v>2</x:v>
      </x:c>
    </x:row>
    <x:row r="72" ht="40" customHeight="1">
      <x:c r="A72" s="6" t="str">
        <x:v>FW-E009</x:v>
      </x:c>
      <x:c r="B72" s="7" t="n">
        <x:v>46367</x:v>
      </x:c>
      <x:c r="C72" s="6" t="str">
        <x:v>FW-P142</x:v>
      </x:c>
      <x:c r="D72" s="6" t="str">
        <x:v>Contracted project work</x:v>
      </x:c>
      <x:c r="E72" s="11" t="n">
        <x:v>26.4</x:v>
      </x:c>
    </x:row>
    <x:row r="73" ht="40" customHeight="1">
      <x:c r="A73" s="3" t="str">
        <x:v>FW-E009</x:v>
      </x:c>
      <x:c r="B73" s="8" t="n">
        <x:v>46367</x:v>
      </x:c>
      <x:c r="C73" s="3" t="str">
        <x:v>INTERNAL</x:v>
      </x:c>
      <x:c r="D73" s="3" t="str">
        <x:v>Practice / pursuit allowance</x:v>
      </x:c>
      <x:c r="E73" s="12" t="n">
        <x:v>2</x:v>
      </x:c>
    </x:row>
    <x:row r="74" ht="40" customHeight="1">
      <x:c r="A74" s="6" t="str">
        <x:v>FW-E010</x:v>
      </x:c>
      <x:c r="B74" s="7" t="n">
        <x:v>46277</x:v>
      </x:c>
      <x:c r="C74" s="6" t="str">
        <x:v>FW-P143</x:v>
      </x:c>
      <x:c r="D74" s="6" t="str">
        <x:v>Contracted project work</x:v>
      </x:c>
      <x:c r="E74" s="11" t="n">
        <x:v>31.6</x:v>
      </x:c>
    </x:row>
    <x:row r="75" ht="40" customHeight="1">
      <x:c r="A75" s="3" t="str">
        <x:v>FW-E010</x:v>
      </x:c>
      <x:c r="B75" s="8" t="n">
        <x:v>46277</x:v>
      </x:c>
      <x:c r="C75" s="3" t="str">
        <x:v>INTERNAL</x:v>
      </x:c>
      <x:c r="D75" s="3" t="str">
        <x:v>Practice / pursuit allowance</x:v>
      </x:c>
      <x:c r="E75" s="12" t="n">
        <x:v>2</x:v>
      </x:c>
    </x:row>
    <x:row r="76" ht="40" customHeight="1">
      <x:c r="A76" s="6" t="str">
        <x:v>FW-E010</x:v>
      </x:c>
      <x:c r="B76" s="7" t="n">
        <x:v>46307</x:v>
      </x:c>
      <x:c r="C76" s="6" t="str">
        <x:v>FW-P143</x:v>
      </x:c>
      <x:c r="D76" s="6" t="str">
        <x:v>Contracted project work</x:v>
      </x:c>
      <x:c r="E76" s="11" t="n">
        <x:v>32.4</x:v>
      </x:c>
    </x:row>
    <x:row r="77" ht="40" customHeight="1">
      <x:c r="A77" s="3" t="str">
        <x:v>FW-E010</x:v>
      </x:c>
      <x:c r="B77" s="8" t="n">
        <x:v>46307</x:v>
      </x:c>
      <x:c r="C77" s="3" t="str">
        <x:v>INTERNAL</x:v>
      </x:c>
      <x:c r="D77" s="3" t="str">
        <x:v>Practice / pursuit allowance</x:v>
      </x:c>
      <x:c r="E77" s="12" t="n">
        <x:v>2</x:v>
      </x:c>
    </x:row>
    <x:row r="78" ht="40" customHeight="1">
      <x:c r="A78" s="6" t="str">
        <x:v>FW-E010</x:v>
      </x:c>
      <x:c r="B78" s="7" t="n">
        <x:v>46337</x:v>
      </x:c>
      <x:c r="C78" s="6" t="str">
        <x:v>FW-P143</x:v>
      </x:c>
      <x:c r="D78" s="6" t="str">
        <x:v>Contracted project work</x:v>
      </x:c>
      <x:c r="E78" s="11" t="n">
        <x:v>28.4</x:v>
      </x:c>
    </x:row>
    <x:row r="79" ht="40" customHeight="1">
      <x:c r="A79" s="3" t="str">
        <x:v>FW-E010</x:v>
      </x:c>
      <x:c r="B79" s="8" t="n">
        <x:v>46337</x:v>
      </x:c>
      <x:c r="C79" s="3" t="str">
        <x:v>INTERNAL</x:v>
      </x:c>
      <x:c r="D79" s="3" t="str">
        <x:v>Practice / pursuit allowance</x:v>
      </x:c>
      <x:c r="E79" s="12" t="n">
        <x:v>2</x:v>
      </x:c>
    </x:row>
    <x:row r="80" ht="40" customHeight="1">
      <x:c r="A80" s="6" t="str">
        <x:v>FW-E010</x:v>
      </x:c>
      <x:c r="B80" s="7" t="n">
        <x:v>46367</x:v>
      </x:c>
      <x:c r="C80" s="6" t="str">
        <x:v>FW-P143</x:v>
      </x:c>
      <x:c r="D80" s="6" t="str">
        <x:v>Contracted project work</x:v>
      </x:c>
      <x:c r="E80" s="11" t="n">
        <x:v>26.4</x:v>
      </x:c>
    </x:row>
    <x:row r="81" ht="40" customHeight="1">
      <x:c r="A81" s="3" t="str">
        <x:v>FW-E010</x:v>
      </x:c>
      <x:c r="B81" s="8" t="n">
        <x:v>46367</x:v>
      </x:c>
      <x:c r="C81" s="3" t="str">
        <x:v>INTERNAL</x:v>
      </x:c>
      <x:c r="D81" s="3" t="str">
        <x:v>Practice / pursuit allowance</x:v>
      </x:c>
      <x:c r="E81" s="12" t="n">
        <x:v>2</x:v>
      </x:c>
    </x:row>
    <x:row r="82" ht="40" customHeight="1">
      <x:c r="A82" s="6" t="str">
        <x:v>FW-E011</x:v>
      </x:c>
      <x:c r="B82" s="7" t="n">
        <x:v>46277</x:v>
      </x:c>
      <x:c r="C82" s="6" t="str">
        <x:v>FW-P134</x:v>
      </x:c>
      <x:c r="D82" s="6" t="str">
        <x:v>Contracted project work</x:v>
      </x:c>
      <x:c r="E82" s="11" t="n">
        <x:v>31.6</x:v>
      </x:c>
    </x:row>
    <x:row r="83" ht="40" customHeight="1">
      <x:c r="A83" s="3" t="str">
        <x:v>FW-E011</x:v>
      </x:c>
      <x:c r="B83" s="8" t="n">
        <x:v>46277</x:v>
      </x:c>
      <x:c r="C83" s="3" t="str">
        <x:v>INTERNAL</x:v>
      </x:c>
      <x:c r="D83" s="3" t="str">
        <x:v>Practice / pursuit allowance</x:v>
      </x:c>
      <x:c r="E83" s="12" t="n">
        <x:v>2</x:v>
      </x:c>
    </x:row>
    <x:row r="84" ht="40" customHeight="1">
      <x:c r="A84" s="6" t="str">
        <x:v>FW-E011</x:v>
      </x:c>
      <x:c r="B84" s="7" t="n">
        <x:v>46307</x:v>
      </x:c>
      <x:c r="C84" s="6" t="str">
        <x:v>FW-P134</x:v>
      </x:c>
      <x:c r="D84" s="6" t="str">
        <x:v>Contracted project work</x:v>
      </x:c>
      <x:c r="E84" s="11" t="n">
        <x:v>32.4</x:v>
      </x:c>
    </x:row>
    <x:row r="85" ht="40" customHeight="1">
      <x:c r="A85" s="3" t="str">
        <x:v>FW-E011</x:v>
      </x:c>
      <x:c r="B85" s="8" t="n">
        <x:v>46307</x:v>
      </x:c>
      <x:c r="C85" s="3" t="str">
        <x:v>INTERNAL</x:v>
      </x:c>
      <x:c r="D85" s="3" t="str">
        <x:v>Practice / pursuit allowance</x:v>
      </x:c>
      <x:c r="E85" s="12" t="n">
        <x:v>2</x:v>
      </x:c>
    </x:row>
    <x:row r="86" ht="40" customHeight="1">
      <x:c r="A86" s="6" t="str">
        <x:v>FW-E011</x:v>
      </x:c>
      <x:c r="B86" s="7" t="n">
        <x:v>46337</x:v>
      </x:c>
      <x:c r="C86" s="6" t="str">
        <x:v>FW-P134</x:v>
      </x:c>
      <x:c r="D86" s="6" t="str">
        <x:v>Contracted project work</x:v>
      </x:c>
      <x:c r="E86" s="11" t="n">
        <x:v>28.4</x:v>
      </x:c>
    </x:row>
    <x:row r="87" ht="40" customHeight="1">
      <x:c r="A87" s="3" t="str">
        <x:v>FW-E011</x:v>
      </x:c>
      <x:c r="B87" s="8" t="n">
        <x:v>46337</x:v>
      </x:c>
      <x:c r="C87" s="3" t="str">
        <x:v>INTERNAL</x:v>
      </x:c>
      <x:c r="D87" s="3" t="str">
        <x:v>Practice / pursuit allowance</x:v>
      </x:c>
      <x:c r="E87" s="12" t="n">
        <x:v>2</x:v>
      </x:c>
    </x:row>
    <x:row r="88" ht="40" customHeight="1">
      <x:c r="A88" s="6" t="str">
        <x:v>FW-E011</x:v>
      </x:c>
      <x:c r="B88" s="7" t="n">
        <x:v>46367</x:v>
      </x:c>
      <x:c r="C88" s="6" t="str">
        <x:v>FW-P134</x:v>
      </x:c>
      <x:c r="D88" s="6" t="str">
        <x:v>Contracted project work</x:v>
      </x:c>
      <x:c r="E88" s="11" t="n">
        <x:v>26.4</x:v>
      </x:c>
    </x:row>
    <x:row r="89" ht="40" customHeight="1">
      <x:c r="A89" s="3" t="str">
        <x:v>FW-E011</x:v>
      </x:c>
      <x:c r="B89" s="8" t="n">
        <x:v>46367</x:v>
      </x:c>
      <x:c r="C89" s="3" t="str">
        <x:v>INTERNAL</x:v>
      </x:c>
      <x:c r="D89" s="3" t="str">
        <x:v>Practice / pursuit allowance</x:v>
      </x:c>
      <x:c r="E89" s="12" t="n">
        <x:v>2</x:v>
      </x:c>
    </x:row>
    <x:row r="90" ht="40" customHeight="1">
      <x:c r="A90" s="6" t="str">
        <x:v>FW-E012</x:v>
      </x:c>
      <x:c r="B90" s="7" t="n">
        <x:v>46277</x:v>
      </x:c>
      <x:c r="C90" s="6" t="str">
        <x:v>FW-P135</x:v>
      </x:c>
      <x:c r="D90" s="6" t="str">
        <x:v>Contracted project work</x:v>
      </x:c>
      <x:c r="E90" s="11" t="n">
        <x:v>31.6</x:v>
      </x:c>
    </x:row>
    <x:row r="91" ht="40" customHeight="1">
      <x:c r="A91" s="3" t="str">
        <x:v>FW-E012</x:v>
      </x:c>
      <x:c r="B91" s="8" t="n">
        <x:v>46277</x:v>
      </x:c>
      <x:c r="C91" s="3" t="str">
        <x:v>INTERNAL</x:v>
      </x:c>
      <x:c r="D91" s="3" t="str">
        <x:v>Practice / pursuit allowance</x:v>
      </x:c>
      <x:c r="E91" s="12" t="n">
        <x:v>2</x:v>
      </x:c>
    </x:row>
    <x:row r="92" ht="40" customHeight="1">
      <x:c r="A92" s="6" t="str">
        <x:v>FW-E012</x:v>
      </x:c>
      <x:c r="B92" s="7" t="n">
        <x:v>46307</x:v>
      </x:c>
      <x:c r="C92" s="6" t="str">
        <x:v>FW-P135</x:v>
      </x:c>
      <x:c r="D92" s="6" t="str">
        <x:v>Contracted project work</x:v>
      </x:c>
      <x:c r="E92" s="11" t="n">
        <x:v>32.4</x:v>
      </x:c>
    </x:row>
    <x:row r="93" ht="40" customHeight="1">
      <x:c r="A93" s="3" t="str">
        <x:v>FW-E012</x:v>
      </x:c>
      <x:c r="B93" s="8" t="n">
        <x:v>46307</x:v>
      </x:c>
      <x:c r="C93" s="3" t="str">
        <x:v>INTERNAL</x:v>
      </x:c>
      <x:c r="D93" s="3" t="str">
        <x:v>Practice / pursuit allowance</x:v>
      </x:c>
      <x:c r="E93" s="12" t="n">
        <x:v>2</x:v>
      </x:c>
    </x:row>
    <x:row r="94" ht="40" customHeight="1">
      <x:c r="A94" s="6" t="str">
        <x:v>FW-E012</x:v>
      </x:c>
      <x:c r="B94" s="7" t="n">
        <x:v>46337</x:v>
      </x:c>
      <x:c r="C94" s="6" t="str">
        <x:v>FW-P135</x:v>
      </x:c>
      <x:c r="D94" s="6" t="str">
        <x:v>Contracted project work</x:v>
      </x:c>
      <x:c r="E94" s="11" t="n">
        <x:v>28.4</x:v>
      </x:c>
    </x:row>
    <x:row r="95" ht="40" customHeight="1">
      <x:c r="A95" s="3" t="str">
        <x:v>FW-E012</x:v>
      </x:c>
      <x:c r="B95" s="8" t="n">
        <x:v>46337</x:v>
      </x:c>
      <x:c r="C95" s="3" t="str">
        <x:v>INTERNAL</x:v>
      </x:c>
      <x:c r="D95" s="3" t="str">
        <x:v>Practice / pursuit allowance</x:v>
      </x:c>
      <x:c r="E95" s="12" t="n">
        <x:v>2</x:v>
      </x:c>
    </x:row>
    <x:row r="96" ht="40" customHeight="1">
      <x:c r="A96" s="6" t="str">
        <x:v>FW-E012</x:v>
      </x:c>
      <x:c r="B96" s="7" t="n">
        <x:v>46367</x:v>
      </x:c>
      <x:c r="C96" s="6" t="str">
        <x:v>FW-P135</x:v>
      </x:c>
      <x:c r="D96" s="6" t="str">
        <x:v>Contracted project work</x:v>
      </x:c>
      <x:c r="E96" s="11" t="n">
        <x:v>26.4</x:v>
      </x:c>
    </x:row>
    <x:row r="97" ht="40" customHeight="1">
      <x:c r="A97" s="3" t="str">
        <x:v>FW-E012</x:v>
      </x:c>
      <x:c r="B97" s="8" t="n">
        <x:v>46367</x:v>
      </x:c>
      <x:c r="C97" s="3" t="str">
        <x:v>INTERNAL</x:v>
      </x:c>
      <x:c r="D97" s="3" t="str">
        <x:v>Practice / pursuit allowance</x:v>
      </x:c>
      <x:c r="E97" s="12" t="n">
        <x:v>2</x:v>
      </x:c>
    </x:row>
    <x:row r="98" ht="40" customHeight="1">
      <x:c r="A98" s="6" t="str">
        <x:v>FW-E013</x:v>
      </x:c>
      <x:c r="B98" s="7" t="n">
        <x:v>46277</x:v>
      </x:c>
      <x:c r="C98" s="6" t="str">
        <x:v>FW-P136</x:v>
      </x:c>
      <x:c r="D98" s="6" t="str">
        <x:v>Contracted project work</x:v>
      </x:c>
      <x:c r="E98" s="11" t="n">
        <x:v>31.6</x:v>
      </x:c>
    </x:row>
    <x:row r="99" ht="40" customHeight="1">
      <x:c r="A99" s="3" t="str">
        <x:v>FW-E013</x:v>
      </x:c>
      <x:c r="B99" s="8" t="n">
        <x:v>46277</x:v>
      </x:c>
      <x:c r="C99" s="3" t="str">
        <x:v>INTERNAL</x:v>
      </x:c>
      <x:c r="D99" s="3" t="str">
        <x:v>Practice / pursuit allowance</x:v>
      </x:c>
      <x:c r="E99" s="12" t="n">
        <x:v>2</x:v>
      </x:c>
    </x:row>
    <x:row r="100" ht="40" customHeight="1">
      <x:c r="A100" s="6" t="str">
        <x:v>FW-E013</x:v>
      </x:c>
      <x:c r="B100" s="7" t="n">
        <x:v>46307</x:v>
      </x:c>
      <x:c r="C100" s="6" t="str">
        <x:v>FW-P136</x:v>
      </x:c>
      <x:c r="D100" s="6" t="str">
        <x:v>Contracted project work</x:v>
      </x:c>
      <x:c r="E100" s="11" t="n">
        <x:v>32.4</x:v>
      </x:c>
    </x:row>
    <x:row r="101" ht="40" customHeight="1">
      <x:c r="A101" s="3" t="str">
        <x:v>FW-E013</x:v>
      </x:c>
      <x:c r="B101" s="8" t="n">
        <x:v>46307</x:v>
      </x:c>
      <x:c r="C101" s="3" t="str">
        <x:v>INTERNAL</x:v>
      </x:c>
      <x:c r="D101" s="3" t="str">
        <x:v>Practice / pursuit allowance</x:v>
      </x:c>
      <x:c r="E101" s="12" t="n">
        <x:v>2</x:v>
      </x:c>
    </x:row>
    <x:row r="102" ht="40" customHeight="1">
      <x:c r="A102" s="6" t="str">
        <x:v>FW-E013</x:v>
      </x:c>
      <x:c r="B102" s="7" t="n">
        <x:v>46337</x:v>
      </x:c>
      <x:c r="C102" s="6" t="str">
        <x:v>FW-P136</x:v>
      </x:c>
      <x:c r="D102" s="6" t="str">
        <x:v>Contracted project work</x:v>
      </x:c>
      <x:c r="E102" s="11" t="n">
        <x:v>28.4</x:v>
      </x:c>
    </x:row>
    <x:row r="103" ht="40" customHeight="1">
      <x:c r="A103" s="3" t="str">
        <x:v>FW-E013</x:v>
      </x:c>
      <x:c r="B103" s="8" t="n">
        <x:v>46337</x:v>
      </x:c>
      <x:c r="C103" s="3" t="str">
        <x:v>INTERNAL</x:v>
      </x:c>
      <x:c r="D103" s="3" t="str">
        <x:v>Practice / pursuit allowance</x:v>
      </x:c>
      <x:c r="E103" s="12" t="n">
        <x:v>2</x:v>
      </x:c>
    </x:row>
    <x:row r="104" ht="40" customHeight="1">
      <x:c r="A104" s="6" t="str">
        <x:v>FW-E013</x:v>
      </x:c>
      <x:c r="B104" s="7" t="n">
        <x:v>46367</x:v>
      </x:c>
      <x:c r="C104" s="6" t="str">
        <x:v>FW-P136</x:v>
      </x:c>
      <x:c r="D104" s="6" t="str">
        <x:v>Contracted project work</x:v>
      </x:c>
      <x:c r="E104" s="11" t="n">
        <x:v>26.4</x:v>
      </x:c>
    </x:row>
    <x:row r="105" ht="40" customHeight="1">
      <x:c r="A105" s="3" t="str">
        <x:v>FW-E013</x:v>
      </x:c>
      <x:c r="B105" s="8" t="n">
        <x:v>46367</x:v>
      </x:c>
      <x:c r="C105" s="3" t="str">
        <x:v>INTERNAL</x:v>
      </x:c>
      <x:c r="D105" s="3" t="str">
        <x:v>Practice / pursuit allowance</x:v>
      </x:c>
      <x:c r="E105" s="12" t="n">
        <x:v>2</x:v>
      </x:c>
    </x:row>
    <x:row r="106" ht="40" customHeight="1">
      <x:c r="A106" s="6" t="str">
        <x:v>FW-E014</x:v>
      </x:c>
      <x:c r="B106" s="7" t="n">
        <x:v>46277</x:v>
      </x:c>
      <x:c r="C106" s="6" t="str">
        <x:v>FW-P137</x:v>
      </x:c>
      <x:c r="D106" s="6" t="str">
        <x:v>Contracted project work</x:v>
      </x:c>
      <x:c r="E106" s="11" t="n">
        <x:v>31.6</x:v>
      </x:c>
    </x:row>
    <x:row r="107" ht="40" customHeight="1">
      <x:c r="A107" s="3" t="str">
        <x:v>FW-E014</x:v>
      </x:c>
      <x:c r="B107" s="8" t="n">
        <x:v>46277</x:v>
      </x:c>
      <x:c r="C107" s="3" t="str">
        <x:v>INTERNAL</x:v>
      </x:c>
      <x:c r="D107" s="3" t="str">
        <x:v>Practice / pursuit allowance</x:v>
      </x:c>
      <x:c r="E107" s="12" t="n">
        <x:v>2</x:v>
      </x:c>
    </x:row>
    <x:row r="108" ht="40" customHeight="1">
      <x:c r="A108" s="6" t="str">
        <x:v>FW-E014</x:v>
      </x:c>
      <x:c r="B108" s="7" t="n">
        <x:v>46307</x:v>
      </x:c>
      <x:c r="C108" s="6" t="str">
        <x:v>FW-P137</x:v>
      </x:c>
      <x:c r="D108" s="6" t="str">
        <x:v>Contracted project work</x:v>
      </x:c>
      <x:c r="E108" s="11" t="n">
        <x:v>32.4</x:v>
      </x:c>
    </x:row>
    <x:row r="109" ht="40" customHeight="1">
      <x:c r="A109" s="3" t="str">
        <x:v>FW-E014</x:v>
      </x:c>
      <x:c r="B109" s="8" t="n">
        <x:v>46307</x:v>
      </x:c>
      <x:c r="C109" s="3" t="str">
        <x:v>INTERNAL</x:v>
      </x:c>
      <x:c r="D109" s="3" t="str">
        <x:v>Practice / pursuit allowance</x:v>
      </x:c>
      <x:c r="E109" s="12" t="n">
        <x:v>2</x:v>
      </x:c>
    </x:row>
    <x:row r="110" ht="40" customHeight="1">
      <x:c r="A110" s="6" t="str">
        <x:v>FW-E014</x:v>
      </x:c>
      <x:c r="B110" s="7" t="n">
        <x:v>46337</x:v>
      </x:c>
      <x:c r="C110" s="6" t="str">
        <x:v>FW-P137</x:v>
      </x:c>
      <x:c r="D110" s="6" t="str">
        <x:v>Contracted project work</x:v>
      </x:c>
      <x:c r="E110" s="11" t="n">
        <x:v>28.4</x:v>
      </x:c>
    </x:row>
    <x:row r="111" ht="40" customHeight="1">
      <x:c r="A111" s="3" t="str">
        <x:v>FW-E014</x:v>
      </x:c>
      <x:c r="B111" s="8" t="n">
        <x:v>46337</x:v>
      </x:c>
      <x:c r="C111" s="3" t="str">
        <x:v>INTERNAL</x:v>
      </x:c>
      <x:c r="D111" s="3" t="str">
        <x:v>Practice / pursuit allowance</x:v>
      </x:c>
      <x:c r="E111" s="12" t="n">
        <x:v>2</x:v>
      </x:c>
    </x:row>
    <x:row r="112" ht="40" customHeight="1">
      <x:c r="A112" s="6" t="str">
        <x:v>FW-E014</x:v>
      </x:c>
      <x:c r="B112" s="7" t="n">
        <x:v>46367</x:v>
      </x:c>
      <x:c r="C112" s="6" t="str">
        <x:v>FW-P137</x:v>
      </x:c>
      <x:c r="D112" s="6" t="str">
        <x:v>Contracted project work</x:v>
      </x:c>
      <x:c r="E112" s="11" t="n">
        <x:v>26.4</x:v>
      </x:c>
    </x:row>
    <x:row r="113" ht="40" customHeight="1">
      <x:c r="A113" s="3" t="str">
        <x:v>FW-E014</x:v>
      </x:c>
      <x:c r="B113" s="8" t="n">
        <x:v>46367</x:v>
      </x:c>
      <x:c r="C113" s="3" t="str">
        <x:v>INTERNAL</x:v>
      </x:c>
      <x:c r="D113" s="3" t="str">
        <x:v>Practice / pursuit allowance</x:v>
      </x:c>
      <x:c r="E113" s="12" t="n">
        <x:v>2</x:v>
      </x:c>
    </x:row>
    <x:row r="114" ht="40" customHeight="1">
      <x:c r="A114" s="6" t="str">
        <x:v>FW-E015</x:v>
      </x:c>
      <x:c r="B114" s="7" t="n">
        <x:v>46277</x:v>
      </x:c>
      <x:c r="C114" s="6" t="str">
        <x:v>FW-P138</x:v>
      </x:c>
      <x:c r="D114" s="6" t="str">
        <x:v>Contracted project work</x:v>
      </x:c>
      <x:c r="E114" s="11" t="n">
        <x:v>31.6</x:v>
      </x:c>
    </x:row>
    <x:row r="115" ht="40" customHeight="1">
      <x:c r="A115" s="3" t="str">
        <x:v>FW-E015</x:v>
      </x:c>
      <x:c r="B115" s="8" t="n">
        <x:v>46277</x:v>
      </x:c>
      <x:c r="C115" s="3" t="str">
        <x:v>INTERNAL</x:v>
      </x:c>
      <x:c r="D115" s="3" t="str">
        <x:v>Practice / pursuit allowance</x:v>
      </x:c>
      <x:c r="E115" s="12" t="n">
        <x:v>2</x:v>
      </x:c>
    </x:row>
    <x:row r="116" ht="40" customHeight="1">
      <x:c r="A116" s="6" t="str">
        <x:v>FW-E015</x:v>
      </x:c>
      <x:c r="B116" s="7" t="n">
        <x:v>46307</x:v>
      </x:c>
      <x:c r="C116" s="6" t="str">
        <x:v>FW-P138</x:v>
      </x:c>
      <x:c r="D116" s="6" t="str">
        <x:v>Contracted project work</x:v>
      </x:c>
      <x:c r="E116" s="11" t="n">
        <x:v>32.4</x:v>
      </x:c>
    </x:row>
    <x:row r="117" ht="40" customHeight="1">
      <x:c r="A117" s="3" t="str">
        <x:v>FW-E015</x:v>
      </x:c>
      <x:c r="B117" s="8" t="n">
        <x:v>46307</x:v>
      </x:c>
      <x:c r="C117" s="3" t="str">
        <x:v>INTERNAL</x:v>
      </x:c>
      <x:c r="D117" s="3" t="str">
        <x:v>Practice / pursuit allowance</x:v>
      </x:c>
      <x:c r="E117" s="12" t="n">
        <x:v>2</x:v>
      </x:c>
    </x:row>
    <x:row r="118" ht="40" customHeight="1">
      <x:c r="A118" s="6" t="str">
        <x:v>FW-E015</x:v>
      </x:c>
      <x:c r="B118" s="7" t="n">
        <x:v>46337</x:v>
      </x:c>
      <x:c r="C118" s="6" t="str">
        <x:v>FW-P138</x:v>
      </x:c>
      <x:c r="D118" s="6" t="str">
        <x:v>Contracted project work</x:v>
      </x:c>
      <x:c r="E118" s="11" t="n">
        <x:v>28.4</x:v>
      </x:c>
    </x:row>
    <x:row r="119" ht="40" customHeight="1">
      <x:c r="A119" s="3" t="str">
        <x:v>FW-E015</x:v>
      </x:c>
      <x:c r="B119" s="8" t="n">
        <x:v>46337</x:v>
      </x:c>
      <x:c r="C119" s="3" t="str">
        <x:v>INTERNAL</x:v>
      </x:c>
      <x:c r="D119" s="3" t="str">
        <x:v>Practice / pursuit allowance</x:v>
      </x:c>
      <x:c r="E119" s="12" t="n">
        <x:v>2</x:v>
      </x:c>
    </x:row>
    <x:row r="120" ht="40" customHeight="1">
      <x:c r="A120" s="6" t="str">
        <x:v>FW-E015</x:v>
      </x:c>
      <x:c r="B120" s="7" t="n">
        <x:v>46367</x:v>
      </x:c>
      <x:c r="C120" s="6" t="str">
        <x:v>FW-P138</x:v>
      </x:c>
      <x:c r="D120" s="6" t="str">
        <x:v>Contracted project work</x:v>
      </x:c>
      <x:c r="E120" s="11" t="n">
        <x:v>26.4</x:v>
      </x:c>
    </x:row>
    <x:row r="121" ht="40" customHeight="1">
      <x:c r="A121" s="3" t="str">
        <x:v>FW-E015</x:v>
      </x:c>
      <x:c r="B121" s="8" t="n">
        <x:v>46367</x:v>
      </x:c>
      <x:c r="C121" s="3" t="str">
        <x:v>INTERNAL</x:v>
      </x:c>
      <x:c r="D121" s="3" t="str">
        <x:v>Practice / pursuit allowance</x:v>
      </x:c>
      <x:c r="E121" s="12" t="n">
        <x:v>2</x:v>
      </x:c>
    </x:row>
    <x:row r="122" ht="40" customHeight="1">
      <x:c r="A122" s="6" t="str">
        <x:v>FW-E016</x:v>
      </x:c>
      <x:c r="B122" s="7" t="n">
        <x:v>46277</x:v>
      </x:c>
      <x:c r="C122" s="6" t="str">
        <x:v>FW-P134</x:v>
      </x:c>
      <x:c r="D122" s="6" t="str">
        <x:v>Contracted project work</x:v>
      </x:c>
      <x:c r="E122" s="11" t="n">
        <x:v>31.6</x:v>
      </x:c>
    </x:row>
    <x:row r="123" ht="40" customHeight="1">
      <x:c r="A123" s="3" t="str">
        <x:v>FW-E016</x:v>
      </x:c>
      <x:c r="B123" s="8" t="n">
        <x:v>46277</x:v>
      </x:c>
      <x:c r="C123" s="3" t="str">
        <x:v>INTERNAL</x:v>
      </x:c>
      <x:c r="D123" s="3" t="str">
        <x:v>Practice / pursuit allowance</x:v>
      </x:c>
      <x:c r="E123" s="12" t="n">
        <x:v>2</x:v>
      </x:c>
    </x:row>
    <x:row r="124" ht="40" customHeight="1">
      <x:c r="A124" s="6" t="str">
        <x:v>FW-E016</x:v>
      </x:c>
      <x:c r="B124" s="7" t="n">
        <x:v>46307</x:v>
      </x:c>
      <x:c r="C124" s="6" t="str">
        <x:v>FW-P134</x:v>
      </x:c>
      <x:c r="D124" s="6" t="str">
        <x:v>Contracted project work</x:v>
      </x:c>
      <x:c r="E124" s="11" t="n">
        <x:v>32.4</x:v>
      </x:c>
    </x:row>
    <x:row r="125" ht="40" customHeight="1">
      <x:c r="A125" s="3" t="str">
        <x:v>FW-E016</x:v>
      </x:c>
      <x:c r="B125" s="8" t="n">
        <x:v>46307</x:v>
      </x:c>
      <x:c r="C125" s="3" t="str">
        <x:v>INTERNAL</x:v>
      </x:c>
      <x:c r="D125" s="3" t="str">
        <x:v>Practice / pursuit allowance</x:v>
      </x:c>
      <x:c r="E125" s="12" t="n">
        <x:v>2</x:v>
      </x:c>
    </x:row>
    <x:row r="126" ht="40" customHeight="1">
      <x:c r="A126" s="6" t="str">
        <x:v>FW-E016</x:v>
      </x:c>
      <x:c r="B126" s="7" t="n">
        <x:v>46337</x:v>
      </x:c>
      <x:c r="C126" s="6" t="str">
        <x:v>FW-P134</x:v>
      </x:c>
      <x:c r="D126" s="6" t="str">
        <x:v>Contracted project work</x:v>
      </x:c>
      <x:c r="E126" s="11" t="n">
        <x:v>28.4</x:v>
      </x:c>
    </x:row>
    <x:row r="127" ht="40" customHeight="1">
      <x:c r="A127" s="3" t="str">
        <x:v>FW-E016</x:v>
      </x:c>
      <x:c r="B127" s="8" t="n">
        <x:v>46337</x:v>
      </x:c>
      <x:c r="C127" s="3" t="str">
        <x:v>INTERNAL</x:v>
      </x:c>
      <x:c r="D127" s="3" t="str">
        <x:v>Practice / pursuit allowance</x:v>
      </x:c>
      <x:c r="E127" s="12" t="n">
        <x:v>2</x:v>
      </x:c>
    </x:row>
    <x:row r="128" ht="40" customHeight="1">
      <x:c r="A128" s="6" t="str">
        <x:v>FW-E016</x:v>
      </x:c>
      <x:c r="B128" s="7" t="n">
        <x:v>46367</x:v>
      </x:c>
      <x:c r="C128" s="6" t="str">
        <x:v>FW-P134</x:v>
      </x:c>
      <x:c r="D128" s="6" t="str">
        <x:v>Contracted project work</x:v>
      </x:c>
      <x:c r="E128" s="11" t="n">
        <x:v>26.4</x:v>
      </x:c>
    </x:row>
    <x:row r="129" ht="40" customHeight="1">
      <x:c r="A129" s="3" t="str">
        <x:v>FW-E016</x:v>
      </x:c>
      <x:c r="B129" s="8" t="n">
        <x:v>46367</x:v>
      </x:c>
      <x:c r="C129" s="3" t="str">
        <x:v>INTERNAL</x:v>
      </x:c>
      <x:c r="D129" s="3" t="str">
        <x:v>Practice / pursuit allowance</x:v>
      </x:c>
      <x:c r="E129" s="12" t="n">
        <x:v>2</x:v>
      </x:c>
    </x:row>
    <x:row r="130" ht="40" customHeight="1">
      <x:c r="A130" s="6" t="str">
        <x:v>FW-E017</x:v>
      </x:c>
      <x:c r="B130" s="7" t="n">
        <x:v>46277</x:v>
      </x:c>
      <x:c r="C130" s="6" t="str">
        <x:v>FW-P135</x:v>
      </x:c>
      <x:c r="D130" s="6" t="str">
        <x:v>Contracted project work</x:v>
      </x:c>
      <x:c r="E130" s="11" t="n">
        <x:v>31.6</x:v>
      </x:c>
    </x:row>
    <x:row r="131" ht="40" customHeight="1">
      <x:c r="A131" s="3" t="str">
        <x:v>FW-E017</x:v>
      </x:c>
      <x:c r="B131" s="8" t="n">
        <x:v>46277</x:v>
      </x:c>
      <x:c r="C131" s="3" t="str">
        <x:v>INTERNAL</x:v>
      </x:c>
      <x:c r="D131" s="3" t="str">
        <x:v>Practice / pursuit allowance</x:v>
      </x:c>
      <x:c r="E131" s="12" t="n">
        <x:v>2</x:v>
      </x:c>
    </x:row>
    <x:row r="132" ht="40" customHeight="1">
      <x:c r="A132" s="6" t="str">
        <x:v>FW-E017</x:v>
      </x:c>
      <x:c r="B132" s="7" t="n">
        <x:v>46307</x:v>
      </x:c>
      <x:c r="C132" s="6" t="str">
        <x:v>FW-P135</x:v>
      </x:c>
      <x:c r="D132" s="6" t="str">
        <x:v>Contracted project work</x:v>
      </x:c>
      <x:c r="E132" s="11" t="n">
        <x:v>32.4</x:v>
      </x:c>
    </x:row>
    <x:row r="133" ht="40" customHeight="1">
      <x:c r="A133" s="3" t="str">
        <x:v>FW-E017</x:v>
      </x:c>
      <x:c r="B133" s="8" t="n">
        <x:v>46307</x:v>
      </x:c>
      <x:c r="C133" s="3" t="str">
        <x:v>INTERNAL</x:v>
      </x:c>
      <x:c r="D133" s="3" t="str">
        <x:v>Practice / pursuit allowance</x:v>
      </x:c>
      <x:c r="E133" s="12" t="n">
        <x:v>2</x:v>
      </x:c>
    </x:row>
    <x:row r="134" ht="40" customHeight="1">
      <x:c r="A134" s="6" t="str">
        <x:v>FW-E017</x:v>
      </x:c>
      <x:c r="B134" s="7" t="n">
        <x:v>46337</x:v>
      </x:c>
      <x:c r="C134" s="6" t="str">
        <x:v>FW-P135</x:v>
      </x:c>
      <x:c r="D134" s="6" t="str">
        <x:v>Contracted project work</x:v>
      </x:c>
      <x:c r="E134" s="11" t="n">
        <x:v>28.4</x:v>
      </x:c>
    </x:row>
    <x:row r="135" ht="40" customHeight="1">
      <x:c r="A135" s="3" t="str">
        <x:v>FW-E017</x:v>
      </x:c>
      <x:c r="B135" s="8" t="n">
        <x:v>46337</x:v>
      </x:c>
      <x:c r="C135" s="3" t="str">
        <x:v>INTERNAL</x:v>
      </x:c>
      <x:c r="D135" s="3" t="str">
        <x:v>Practice / pursuit allowance</x:v>
      </x:c>
      <x:c r="E135" s="12" t="n">
        <x:v>2</x:v>
      </x:c>
    </x:row>
    <x:row r="136" ht="40" customHeight="1">
      <x:c r="A136" s="6" t="str">
        <x:v>FW-E017</x:v>
      </x:c>
      <x:c r="B136" s="7" t="n">
        <x:v>46367</x:v>
      </x:c>
      <x:c r="C136" s="6" t="str">
        <x:v>FW-P135</x:v>
      </x:c>
      <x:c r="D136" s="6" t="str">
        <x:v>Contracted project work</x:v>
      </x:c>
      <x:c r="E136" s="11" t="n">
        <x:v>26.4</x:v>
      </x:c>
    </x:row>
    <x:row r="137" ht="40" customHeight="1">
      <x:c r="A137" s="3" t="str">
        <x:v>FW-E017</x:v>
      </x:c>
      <x:c r="B137" s="8" t="n">
        <x:v>46367</x:v>
      </x:c>
      <x:c r="C137" s="3" t="str">
        <x:v>INTERNAL</x:v>
      </x:c>
      <x:c r="D137" s="3" t="str">
        <x:v>Practice / pursuit allowance</x:v>
      </x:c>
      <x:c r="E137" s="12" t="n">
        <x:v>2</x:v>
      </x:c>
    </x:row>
    <x:row r="138" ht="40" customHeight="1">
      <x:c r="A138" s="6" t="str">
        <x:v>FW-E018</x:v>
      </x:c>
      <x:c r="B138" s="7" t="n">
        <x:v>46277</x:v>
      </x:c>
      <x:c r="C138" s="6" t="str">
        <x:v>FW-P136</x:v>
      </x:c>
      <x:c r="D138" s="6" t="str">
        <x:v>Contracted project work</x:v>
      </x:c>
      <x:c r="E138" s="11" t="n">
        <x:v>31.6</x:v>
      </x:c>
    </x:row>
    <x:row r="139" ht="40" customHeight="1">
      <x:c r="A139" s="3" t="str">
        <x:v>FW-E018</x:v>
      </x:c>
      <x:c r="B139" s="8" t="n">
        <x:v>46277</x:v>
      </x:c>
      <x:c r="C139" s="3" t="str">
        <x:v>INTERNAL</x:v>
      </x:c>
      <x:c r="D139" s="3" t="str">
        <x:v>Practice / pursuit allowance</x:v>
      </x:c>
      <x:c r="E139" s="12" t="n">
        <x:v>2</x:v>
      </x:c>
    </x:row>
    <x:row r="140" ht="40" customHeight="1">
      <x:c r="A140" s="6" t="str">
        <x:v>FW-E018</x:v>
      </x:c>
      <x:c r="B140" s="7" t="n">
        <x:v>46307</x:v>
      </x:c>
      <x:c r="C140" s="6" t="str">
        <x:v>FW-P136</x:v>
      </x:c>
      <x:c r="D140" s="6" t="str">
        <x:v>Contracted project work</x:v>
      </x:c>
      <x:c r="E140" s="11" t="n">
        <x:v>32.4</x:v>
      </x:c>
    </x:row>
    <x:row r="141" ht="40" customHeight="1">
      <x:c r="A141" s="3" t="str">
        <x:v>FW-E018</x:v>
      </x:c>
      <x:c r="B141" s="8" t="n">
        <x:v>46307</x:v>
      </x:c>
      <x:c r="C141" s="3" t="str">
        <x:v>INTERNAL</x:v>
      </x:c>
      <x:c r="D141" s="3" t="str">
        <x:v>Practice / pursuit allowance</x:v>
      </x:c>
      <x:c r="E141" s="12" t="n">
        <x:v>2</x:v>
      </x:c>
    </x:row>
    <x:row r="142" ht="40" customHeight="1">
      <x:c r="A142" s="6" t="str">
        <x:v>FW-E018</x:v>
      </x:c>
      <x:c r="B142" s="7" t="n">
        <x:v>46337</x:v>
      </x:c>
      <x:c r="C142" s="6" t="str">
        <x:v>FW-P136</x:v>
      </x:c>
      <x:c r="D142" s="6" t="str">
        <x:v>Contracted project work</x:v>
      </x:c>
      <x:c r="E142" s="11" t="n">
        <x:v>28.4</x:v>
      </x:c>
    </x:row>
    <x:row r="143" ht="40" customHeight="1">
      <x:c r="A143" s="3" t="str">
        <x:v>FW-E018</x:v>
      </x:c>
      <x:c r="B143" s="8" t="n">
        <x:v>46337</x:v>
      </x:c>
      <x:c r="C143" s="3" t="str">
        <x:v>INTERNAL</x:v>
      </x:c>
      <x:c r="D143" s="3" t="str">
        <x:v>Practice / pursuit allowance</x:v>
      </x:c>
      <x:c r="E143" s="12" t="n">
        <x:v>2</x:v>
      </x:c>
    </x:row>
    <x:row r="144" ht="40" customHeight="1">
      <x:c r="A144" s="6" t="str">
        <x:v>FW-E018</x:v>
      </x:c>
      <x:c r="B144" s="7" t="n">
        <x:v>46367</x:v>
      </x:c>
      <x:c r="C144" s="6" t="str">
        <x:v>FW-P136</x:v>
      </x:c>
      <x:c r="D144" s="6" t="str">
        <x:v>Contracted project work</x:v>
      </x:c>
      <x:c r="E144" s="11" t="n">
        <x:v>26.4</x:v>
      </x:c>
    </x:row>
    <x:row r="145" ht="40" customHeight="1">
      <x:c r="A145" s="3" t="str">
        <x:v>FW-E018</x:v>
      </x:c>
      <x:c r="B145" s="8" t="n">
        <x:v>46367</x:v>
      </x:c>
      <x:c r="C145" s="3" t="str">
        <x:v>INTERNAL</x:v>
      </x:c>
      <x:c r="D145" s="3" t="str">
        <x:v>Practice / pursuit allowance</x:v>
      </x:c>
      <x:c r="E145" s="12" t="n">
        <x:v>2</x:v>
      </x:c>
    </x:row>
    <x:row r="146" ht="40" customHeight="1">
      <x:c r="A146" s="6" t="str">
        <x:v>FW-E019</x:v>
      </x:c>
      <x:c r="B146" s="7" t="n">
        <x:v>46277</x:v>
      </x:c>
      <x:c r="C146" s="6" t="str">
        <x:v>FW-P137</x:v>
      </x:c>
      <x:c r="D146" s="6" t="str">
        <x:v>Contracted project work</x:v>
      </x:c>
      <x:c r="E146" s="11" t="n">
        <x:v>31.6</x:v>
      </x:c>
    </x:row>
    <x:row r="147" ht="40" customHeight="1">
      <x:c r="A147" s="3" t="str">
        <x:v>FW-E019</x:v>
      </x:c>
      <x:c r="B147" s="8" t="n">
        <x:v>46277</x:v>
      </x:c>
      <x:c r="C147" s="3" t="str">
        <x:v>INTERNAL</x:v>
      </x:c>
      <x:c r="D147" s="3" t="str">
        <x:v>Practice / pursuit allowance</x:v>
      </x:c>
      <x:c r="E147" s="12" t="n">
        <x:v>2</x:v>
      </x:c>
    </x:row>
    <x:row r="148" ht="40" customHeight="1">
      <x:c r="A148" s="6" t="str">
        <x:v>FW-E019</x:v>
      </x:c>
      <x:c r="B148" s="7" t="n">
        <x:v>46307</x:v>
      </x:c>
      <x:c r="C148" s="6" t="str">
        <x:v>FW-P137</x:v>
      </x:c>
      <x:c r="D148" s="6" t="str">
        <x:v>Contracted project work</x:v>
      </x:c>
      <x:c r="E148" s="11" t="n">
        <x:v>32.4</x:v>
      </x:c>
    </x:row>
    <x:row r="149" ht="40" customHeight="1">
      <x:c r="A149" s="3" t="str">
        <x:v>FW-E019</x:v>
      </x:c>
      <x:c r="B149" s="8" t="n">
        <x:v>46307</x:v>
      </x:c>
      <x:c r="C149" s="3" t="str">
        <x:v>INTERNAL</x:v>
      </x:c>
      <x:c r="D149" s="3" t="str">
        <x:v>Practice / pursuit allowance</x:v>
      </x:c>
      <x:c r="E149" s="12" t="n">
        <x:v>2</x:v>
      </x:c>
    </x:row>
    <x:row r="150" ht="40" customHeight="1">
      <x:c r="A150" s="6" t="str">
        <x:v>FW-E019</x:v>
      </x:c>
      <x:c r="B150" s="7" t="n">
        <x:v>46337</x:v>
      </x:c>
      <x:c r="C150" s="6" t="str">
        <x:v>FW-P137</x:v>
      </x:c>
      <x:c r="D150" s="6" t="str">
        <x:v>Contracted project work</x:v>
      </x:c>
      <x:c r="E150" s="11" t="n">
        <x:v>28.4</x:v>
      </x:c>
    </x:row>
    <x:row r="151" ht="40" customHeight="1">
      <x:c r="A151" s="3" t="str">
        <x:v>FW-E019</x:v>
      </x:c>
      <x:c r="B151" s="8" t="n">
        <x:v>46337</x:v>
      </x:c>
      <x:c r="C151" s="3" t="str">
        <x:v>INTERNAL</x:v>
      </x:c>
      <x:c r="D151" s="3" t="str">
        <x:v>Practice / pursuit allowance</x:v>
      </x:c>
      <x:c r="E151" s="12" t="n">
        <x:v>2</x:v>
      </x:c>
    </x:row>
    <x:row r="152" ht="40" customHeight="1">
      <x:c r="A152" s="6" t="str">
        <x:v>FW-E019</x:v>
      </x:c>
      <x:c r="B152" s="7" t="n">
        <x:v>46367</x:v>
      </x:c>
      <x:c r="C152" s="6" t="str">
        <x:v>FW-P137</x:v>
      </x:c>
      <x:c r="D152" s="6" t="str">
        <x:v>Contracted project work</x:v>
      </x:c>
      <x:c r="E152" s="11" t="n">
        <x:v>26.4</x:v>
      </x:c>
    </x:row>
    <x:row r="153" ht="40" customHeight="1">
      <x:c r="A153" s="3" t="str">
        <x:v>FW-E019</x:v>
      </x:c>
      <x:c r="B153" s="8" t="n">
        <x:v>46367</x:v>
      </x:c>
      <x:c r="C153" s="3" t="str">
        <x:v>INTERNAL</x:v>
      </x:c>
      <x:c r="D153" s="3" t="str">
        <x:v>Practice / pursuit allowance</x:v>
      </x:c>
      <x:c r="E153" s="12" t="n">
        <x:v>2</x:v>
      </x:c>
    </x:row>
    <x:row r="154" ht="40" customHeight="1">
      <x:c r="A154" s="6" t="str">
        <x:v>FW-E020</x:v>
      </x:c>
      <x:c r="B154" s="7" t="n">
        <x:v>46277</x:v>
      </x:c>
      <x:c r="C154" s="6" t="str">
        <x:v>FW-P138</x:v>
      </x:c>
      <x:c r="D154" s="6" t="str">
        <x:v>Contracted project work</x:v>
      </x:c>
      <x:c r="E154" s="11" t="n">
        <x:v>31.6</x:v>
      </x:c>
    </x:row>
    <x:row r="155" ht="40" customHeight="1">
      <x:c r="A155" s="3" t="str">
        <x:v>FW-E020</x:v>
      </x:c>
      <x:c r="B155" s="8" t="n">
        <x:v>46277</x:v>
      </x:c>
      <x:c r="C155" s="3" t="str">
        <x:v>INTERNAL</x:v>
      </x:c>
      <x:c r="D155" s="3" t="str">
        <x:v>Practice / pursuit allowance</x:v>
      </x:c>
      <x:c r="E155" s="12" t="n">
        <x:v>2</x:v>
      </x:c>
    </x:row>
    <x:row r="156" ht="40" customHeight="1">
      <x:c r="A156" s="6" t="str">
        <x:v>FW-E020</x:v>
      </x:c>
      <x:c r="B156" s="7" t="n">
        <x:v>46307</x:v>
      </x:c>
      <x:c r="C156" s="6" t="str">
        <x:v>FW-P138</x:v>
      </x:c>
      <x:c r="D156" s="6" t="str">
        <x:v>Contracted project work</x:v>
      </x:c>
      <x:c r="E156" s="11" t="n">
        <x:v>32.4</x:v>
      </x:c>
    </x:row>
    <x:row r="157" ht="40" customHeight="1">
      <x:c r="A157" s="3" t="str">
        <x:v>FW-E020</x:v>
      </x:c>
      <x:c r="B157" s="8" t="n">
        <x:v>46307</x:v>
      </x:c>
      <x:c r="C157" s="3" t="str">
        <x:v>INTERNAL</x:v>
      </x:c>
      <x:c r="D157" s="3" t="str">
        <x:v>Practice / pursuit allowance</x:v>
      </x:c>
      <x:c r="E157" s="12" t="n">
        <x:v>2</x:v>
      </x:c>
    </x:row>
    <x:row r="158" ht="40" customHeight="1">
      <x:c r="A158" s="6" t="str">
        <x:v>FW-E020</x:v>
      </x:c>
      <x:c r="B158" s="7" t="n">
        <x:v>46337</x:v>
      </x:c>
      <x:c r="C158" s="6" t="str">
        <x:v>FW-P138</x:v>
      </x:c>
      <x:c r="D158" s="6" t="str">
        <x:v>Contracted project work</x:v>
      </x:c>
      <x:c r="E158" s="11" t="n">
        <x:v>28.4</x:v>
      </x:c>
    </x:row>
    <x:row r="159" ht="40" customHeight="1">
      <x:c r="A159" s="3" t="str">
        <x:v>FW-E020</x:v>
      </x:c>
      <x:c r="B159" s="8" t="n">
        <x:v>46337</x:v>
      </x:c>
      <x:c r="C159" s="3" t="str">
        <x:v>INTERNAL</x:v>
      </x:c>
      <x:c r="D159" s="3" t="str">
        <x:v>Practice / pursuit allowance</x:v>
      </x:c>
      <x:c r="E159" s="12" t="n">
        <x:v>2</x:v>
      </x:c>
    </x:row>
    <x:row r="160" ht="40" customHeight="1">
      <x:c r="A160" s="6" t="str">
        <x:v>FW-E020</x:v>
      </x:c>
      <x:c r="B160" s="7" t="n">
        <x:v>46367</x:v>
      </x:c>
      <x:c r="C160" s="6" t="str">
        <x:v>FW-P138</x:v>
      </x:c>
      <x:c r="D160" s="6" t="str">
        <x:v>Contracted project work</x:v>
      </x:c>
      <x:c r="E160" s="11" t="n">
        <x:v>26.4</x:v>
      </x:c>
    </x:row>
    <x:row r="161" ht="40" customHeight="1">
      <x:c r="A161" s="3" t="str">
        <x:v>FW-E020</x:v>
      </x:c>
      <x:c r="B161" s="8" t="n">
        <x:v>46367</x:v>
      </x:c>
      <x:c r="C161" s="3" t="str">
        <x:v>INTERNAL</x:v>
      </x:c>
      <x:c r="D161" s="3" t="str">
        <x:v>Practice / pursuit allowance</x:v>
      </x:c>
      <x:c r="E161" s="12" t="n">
        <x:v>2</x:v>
      </x:c>
    </x:row>
    <x:row r="162" ht="40" customHeight="1">
      <x:c r="A162" s="6" t="str">
        <x:v>FW-E021</x:v>
      </x:c>
      <x:c r="B162" s="7" t="n">
        <x:v>46277</x:v>
      </x:c>
      <x:c r="C162" s="6" t="str">
        <x:v>FW-P139</x:v>
      </x:c>
      <x:c r="D162" s="6" t="str">
        <x:v>Contracted project work</x:v>
      </x:c>
      <x:c r="E162" s="11" t="n">
        <x:v>31.6</x:v>
      </x:c>
    </x:row>
    <x:row r="163" ht="40" customHeight="1">
      <x:c r="A163" s="3" t="str">
        <x:v>FW-E021</x:v>
      </x:c>
      <x:c r="B163" s="8" t="n">
        <x:v>46277</x:v>
      </x:c>
      <x:c r="C163" s="3" t="str">
        <x:v>INTERNAL</x:v>
      </x:c>
      <x:c r="D163" s="3" t="str">
        <x:v>Practice / pursuit allowance</x:v>
      </x:c>
      <x:c r="E163" s="12" t="n">
        <x:v>2</x:v>
      </x:c>
    </x:row>
    <x:row r="164" ht="40" customHeight="1">
      <x:c r="A164" s="6" t="str">
        <x:v>FW-E021</x:v>
      </x:c>
      <x:c r="B164" s="7" t="n">
        <x:v>46307</x:v>
      </x:c>
      <x:c r="C164" s="6" t="str">
        <x:v>FW-P139</x:v>
      </x:c>
      <x:c r="D164" s="6" t="str">
        <x:v>Contracted project work</x:v>
      </x:c>
      <x:c r="E164" s="11" t="n">
        <x:v>32.4</x:v>
      </x:c>
    </x:row>
    <x:row r="165" ht="40" customHeight="1">
      <x:c r="A165" s="3" t="str">
        <x:v>FW-E021</x:v>
      </x:c>
      <x:c r="B165" s="8" t="n">
        <x:v>46307</x:v>
      </x:c>
      <x:c r="C165" s="3" t="str">
        <x:v>INTERNAL</x:v>
      </x:c>
      <x:c r="D165" s="3" t="str">
        <x:v>Practice / pursuit allowance</x:v>
      </x:c>
      <x:c r="E165" s="12" t="n">
        <x:v>2</x:v>
      </x:c>
    </x:row>
    <x:row r="166" ht="40" customHeight="1">
      <x:c r="A166" s="6" t="str">
        <x:v>FW-E021</x:v>
      </x:c>
      <x:c r="B166" s="7" t="n">
        <x:v>46337</x:v>
      </x:c>
      <x:c r="C166" s="6" t="str">
        <x:v>FW-P139</x:v>
      </x:c>
      <x:c r="D166" s="6" t="str">
        <x:v>Contracted project work</x:v>
      </x:c>
      <x:c r="E166" s="11" t="n">
        <x:v>28.4</x:v>
      </x:c>
    </x:row>
    <x:row r="167" ht="40" customHeight="1">
      <x:c r="A167" s="3" t="str">
        <x:v>FW-E021</x:v>
      </x:c>
      <x:c r="B167" s="8" t="n">
        <x:v>46337</x:v>
      </x:c>
      <x:c r="C167" s="3" t="str">
        <x:v>INTERNAL</x:v>
      </x:c>
      <x:c r="D167" s="3" t="str">
        <x:v>Practice / pursuit allowance</x:v>
      </x:c>
      <x:c r="E167" s="12" t="n">
        <x:v>2</x:v>
      </x:c>
    </x:row>
    <x:row r="168" ht="40" customHeight="1">
      <x:c r="A168" s="6" t="str">
        <x:v>FW-E021</x:v>
      </x:c>
      <x:c r="B168" s="7" t="n">
        <x:v>46367</x:v>
      </x:c>
      <x:c r="C168" s="6" t="str">
        <x:v>FW-P139</x:v>
      </x:c>
      <x:c r="D168" s="6" t="str">
        <x:v>Contracted project work</x:v>
      </x:c>
      <x:c r="E168" s="11" t="n">
        <x:v>26.4</x:v>
      </x:c>
    </x:row>
    <x:row r="169" ht="40" customHeight="1">
      <x:c r="A169" s="3" t="str">
        <x:v>FW-E021</x:v>
      </x:c>
      <x:c r="B169" s="8" t="n">
        <x:v>46367</x:v>
      </x:c>
      <x:c r="C169" s="3" t="str">
        <x:v>INTERNAL</x:v>
      </x:c>
      <x:c r="D169" s="3" t="str">
        <x:v>Practice / pursuit allowance</x:v>
      </x:c>
      <x:c r="E169" s="12" t="n">
        <x:v>2</x:v>
      </x:c>
    </x:row>
    <x:row r="170" ht="40" customHeight="1">
      <x:c r="A170" s="6" t="str">
        <x:v>FW-E022</x:v>
      </x:c>
      <x:c r="B170" s="7" t="n">
        <x:v>46277</x:v>
      </x:c>
      <x:c r="C170" s="6" t="str">
        <x:v>FW-P140</x:v>
      </x:c>
      <x:c r="D170" s="6" t="str">
        <x:v>Contracted project work</x:v>
      </x:c>
      <x:c r="E170" s="11" t="n">
        <x:v>31.6</x:v>
      </x:c>
    </x:row>
    <x:row r="171" ht="40" customHeight="1">
      <x:c r="A171" s="3" t="str">
        <x:v>FW-E022</x:v>
      </x:c>
      <x:c r="B171" s="8" t="n">
        <x:v>46277</x:v>
      </x:c>
      <x:c r="C171" s="3" t="str">
        <x:v>INTERNAL</x:v>
      </x:c>
      <x:c r="D171" s="3" t="str">
        <x:v>Practice / pursuit allowance</x:v>
      </x:c>
      <x:c r="E171" s="12" t="n">
        <x:v>2</x:v>
      </x:c>
    </x:row>
    <x:row r="172" ht="40" customHeight="1">
      <x:c r="A172" s="6" t="str">
        <x:v>FW-E022</x:v>
      </x:c>
      <x:c r="B172" s="7" t="n">
        <x:v>46307</x:v>
      </x:c>
      <x:c r="C172" s="6" t="str">
        <x:v>FW-P140</x:v>
      </x:c>
      <x:c r="D172" s="6" t="str">
        <x:v>Contracted project work</x:v>
      </x:c>
      <x:c r="E172" s="11" t="n">
        <x:v>32.4</x:v>
      </x:c>
    </x:row>
    <x:row r="173" ht="40" customHeight="1">
      <x:c r="A173" s="3" t="str">
        <x:v>FW-E022</x:v>
      </x:c>
      <x:c r="B173" s="8" t="n">
        <x:v>46307</x:v>
      </x:c>
      <x:c r="C173" s="3" t="str">
        <x:v>INTERNAL</x:v>
      </x:c>
      <x:c r="D173" s="3" t="str">
        <x:v>Practice / pursuit allowance</x:v>
      </x:c>
      <x:c r="E173" s="12" t="n">
        <x:v>2</x:v>
      </x:c>
    </x:row>
    <x:row r="174" ht="40" customHeight="1">
      <x:c r="A174" s="6" t="str">
        <x:v>FW-E022</x:v>
      </x:c>
      <x:c r="B174" s="7" t="n">
        <x:v>46337</x:v>
      </x:c>
      <x:c r="C174" s="6" t="str">
        <x:v>FW-P140</x:v>
      </x:c>
      <x:c r="D174" s="6" t="str">
        <x:v>Contracted project work</x:v>
      </x:c>
      <x:c r="E174" s="11" t="n">
        <x:v>28.4</x:v>
      </x:c>
    </x:row>
    <x:row r="175" ht="40" customHeight="1">
      <x:c r="A175" s="3" t="str">
        <x:v>FW-E022</x:v>
      </x:c>
      <x:c r="B175" s="8" t="n">
        <x:v>46337</x:v>
      </x:c>
      <x:c r="C175" s="3" t="str">
        <x:v>INTERNAL</x:v>
      </x:c>
      <x:c r="D175" s="3" t="str">
        <x:v>Practice / pursuit allowance</x:v>
      </x:c>
      <x:c r="E175" s="12" t="n">
        <x:v>2</x:v>
      </x:c>
    </x:row>
    <x:row r="176" ht="40" customHeight="1">
      <x:c r="A176" s="6" t="str">
        <x:v>FW-E022</x:v>
      </x:c>
      <x:c r="B176" s="7" t="n">
        <x:v>46367</x:v>
      </x:c>
      <x:c r="C176" s="6" t="str">
        <x:v>FW-P140</x:v>
      </x:c>
      <x:c r="D176" s="6" t="str">
        <x:v>Contracted project work</x:v>
      </x:c>
      <x:c r="E176" s="11" t="n">
        <x:v>26.4</x:v>
      </x:c>
    </x:row>
    <x:row r="177" ht="40" customHeight="1">
      <x:c r="A177" s="3" t="str">
        <x:v>FW-E022</x:v>
      </x:c>
      <x:c r="B177" s="8" t="n">
        <x:v>46367</x:v>
      </x:c>
      <x:c r="C177" s="3" t="str">
        <x:v>INTERNAL</x:v>
      </x:c>
      <x:c r="D177" s="3" t="str">
        <x:v>Practice / pursuit allowance</x:v>
      </x:c>
      <x:c r="E177" s="12" t="n">
        <x:v>2</x:v>
      </x:c>
    </x:row>
    <x:row r="178" ht="40" customHeight="1">
      <x:c r="A178" s="6" t="str">
        <x:v>FW-E023</x:v>
      </x:c>
      <x:c r="B178" s="7" t="n">
        <x:v>46277</x:v>
      </x:c>
      <x:c r="C178" s="6" t="str">
        <x:v>FW-P141</x:v>
      </x:c>
      <x:c r="D178" s="6" t="str">
        <x:v>Contracted project work</x:v>
      </x:c>
      <x:c r="E178" s="11" t="n">
        <x:v>31.6</x:v>
      </x:c>
    </x:row>
    <x:row r="179" ht="40" customHeight="1">
      <x:c r="A179" s="3" t="str">
        <x:v>FW-E023</x:v>
      </x:c>
      <x:c r="B179" s="8" t="n">
        <x:v>46277</x:v>
      </x:c>
      <x:c r="C179" s="3" t="str">
        <x:v>INTERNAL</x:v>
      </x:c>
      <x:c r="D179" s="3" t="str">
        <x:v>Practice / pursuit allowance</x:v>
      </x:c>
      <x:c r="E179" s="12" t="n">
        <x:v>2</x:v>
      </x:c>
    </x:row>
    <x:row r="180" ht="40" customHeight="1">
      <x:c r="A180" s="6" t="str">
        <x:v>FW-E023</x:v>
      </x:c>
      <x:c r="B180" s="7" t="n">
        <x:v>46307</x:v>
      </x:c>
      <x:c r="C180" s="6" t="str">
        <x:v>FW-P141</x:v>
      </x:c>
      <x:c r="D180" s="6" t="str">
        <x:v>Contracted project work</x:v>
      </x:c>
      <x:c r="E180" s="11" t="n">
        <x:v>32.4</x:v>
      </x:c>
    </x:row>
    <x:row r="181" ht="40" customHeight="1">
      <x:c r="A181" s="3" t="str">
        <x:v>FW-E023</x:v>
      </x:c>
      <x:c r="B181" s="8" t="n">
        <x:v>46307</x:v>
      </x:c>
      <x:c r="C181" s="3" t="str">
        <x:v>INTERNAL</x:v>
      </x:c>
      <x:c r="D181" s="3" t="str">
        <x:v>Practice / pursuit allowance</x:v>
      </x:c>
      <x:c r="E181" s="12" t="n">
        <x:v>2</x:v>
      </x:c>
    </x:row>
    <x:row r="182" ht="40" customHeight="1">
      <x:c r="A182" s="6" t="str">
        <x:v>FW-E023</x:v>
      </x:c>
      <x:c r="B182" s="7" t="n">
        <x:v>46337</x:v>
      </x:c>
      <x:c r="C182" s="6" t="str">
        <x:v>FW-P141</x:v>
      </x:c>
      <x:c r="D182" s="6" t="str">
        <x:v>Contracted project work</x:v>
      </x:c>
      <x:c r="E182" s="11" t="n">
        <x:v>28.4</x:v>
      </x:c>
    </x:row>
    <x:row r="183" ht="40" customHeight="1">
      <x:c r="A183" s="3" t="str">
        <x:v>FW-E023</x:v>
      </x:c>
      <x:c r="B183" s="8" t="n">
        <x:v>46337</x:v>
      </x:c>
      <x:c r="C183" s="3" t="str">
        <x:v>INTERNAL</x:v>
      </x:c>
      <x:c r="D183" s="3" t="str">
        <x:v>Practice / pursuit allowance</x:v>
      </x:c>
      <x:c r="E183" s="12" t="n">
        <x:v>2</x:v>
      </x:c>
    </x:row>
    <x:row r="184" ht="40" customHeight="1">
      <x:c r="A184" s="6" t="str">
        <x:v>FW-E023</x:v>
      </x:c>
      <x:c r="B184" s="7" t="n">
        <x:v>46367</x:v>
      </x:c>
      <x:c r="C184" s="6" t="str">
        <x:v>FW-P141</x:v>
      </x:c>
      <x:c r="D184" s="6" t="str">
        <x:v>Contracted project work</x:v>
      </x:c>
      <x:c r="E184" s="11" t="n">
        <x:v>26.4</x:v>
      </x:c>
    </x:row>
    <x:row r="185" ht="40" customHeight="1">
      <x:c r="A185" s="3" t="str">
        <x:v>FW-E023</x:v>
      </x:c>
      <x:c r="B185" s="8" t="n">
        <x:v>46367</x:v>
      </x:c>
      <x:c r="C185" s="3" t="str">
        <x:v>INTERNAL</x:v>
      </x:c>
      <x:c r="D185" s="3" t="str">
        <x:v>Practice / pursuit allowance</x:v>
      </x:c>
      <x:c r="E185" s="12" t="n">
        <x:v>2</x:v>
      </x:c>
    </x:row>
    <x:row r="186" ht="40" customHeight="1">
      <x:c r="A186" s="6" t="str">
        <x:v>FW-E024</x:v>
      </x:c>
      <x:c r="B186" s="7" t="n">
        <x:v>46277</x:v>
      </x:c>
      <x:c r="C186" s="6" t="str">
        <x:v>FW-P142</x:v>
      </x:c>
      <x:c r="D186" s="6" t="str">
        <x:v>Contracted project work</x:v>
      </x:c>
      <x:c r="E186" s="11" t="n">
        <x:v>31.6</x:v>
      </x:c>
    </x:row>
    <x:row r="187" ht="40" customHeight="1">
      <x:c r="A187" s="3" t="str">
        <x:v>FW-E024</x:v>
      </x:c>
      <x:c r="B187" s="8" t="n">
        <x:v>46277</x:v>
      </x:c>
      <x:c r="C187" s="3" t="str">
        <x:v>INTERNAL</x:v>
      </x:c>
      <x:c r="D187" s="3" t="str">
        <x:v>Practice / pursuit allowance</x:v>
      </x:c>
      <x:c r="E187" s="12" t="n">
        <x:v>2</x:v>
      </x:c>
    </x:row>
    <x:row r="188" ht="40" customHeight="1">
      <x:c r="A188" s="6" t="str">
        <x:v>FW-E024</x:v>
      </x:c>
      <x:c r="B188" s="7" t="n">
        <x:v>46307</x:v>
      </x:c>
      <x:c r="C188" s="6" t="str">
        <x:v>FW-P142</x:v>
      </x:c>
      <x:c r="D188" s="6" t="str">
        <x:v>Contracted project work</x:v>
      </x:c>
      <x:c r="E188" s="11" t="n">
        <x:v>32.4</x:v>
      </x:c>
    </x:row>
    <x:row r="189" ht="40" customHeight="1">
      <x:c r="A189" s="3" t="str">
        <x:v>FW-E024</x:v>
      </x:c>
      <x:c r="B189" s="8" t="n">
        <x:v>46307</x:v>
      </x:c>
      <x:c r="C189" s="3" t="str">
        <x:v>INTERNAL</x:v>
      </x:c>
      <x:c r="D189" s="3" t="str">
        <x:v>Practice / pursuit allowance</x:v>
      </x:c>
      <x:c r="E189" s="12" t="n">
        <x:v>2</x:v>
      </x:c>
    </x:row>
    <x:row r="190" ht="40" customHeight="1">
      <x:c r="A190" s="6" t="str">
        <x:v>FW-E024</x:v>
      </x:c>
      <x:c r="B190" s="7" t="n">
        <x:v>46337</x:v>
      </x:c>
      <x:c r="C190" s="6" t="str">
        <x:v>FW-P142</x:v>
      </x:c>
      <x:c r="D190" s="6" t="str">
        <x:v>Contracted project work</x:v>
      </x:c>
      <x:c r="E190" s="11" t="n">
        <x:v>28.4</x:v>
      </x:c>
    </x:row>
    <x:row r="191" ht="40" customHeight="1">
      <x:c r="A191" s="3" t="str">
        <x:v>FW-E024</x:v>
      </x:c>
      <x:c r="B191" s="8" t="n">
        <x:v>46337</x:v>
      </x:c>
      <x:c r="C191" s="3" t="str">
        <x:v>INTERNAL</x:v>
      </x:c>
      <x:c r="D191" s="3" t="str">
        <x:v>Practice / pursuit allowance</x:v>
      </x:c>
      <x:c r="E191" s="12" t="n">
        <x:v>2</x:v>
      </x:c>
    </x:row>
    <x:row r="192" ht="40" customHeight="1">
      <x:c r="A192" s="6" t="str">
        <x:v>FW-E024</x:v>
      </x:c>
      <x:c r="B192" s="7" t="n">
        <x:v>46367</x:v>
      </x:c>
      <x:c r="C192" s="6" t="str">
        <x:v>FW-P142</x:v>
      </x:c>
      <x:c r="D192" s="6" t="str">
        <x:v>Contracted project work</x:v>
      </x:c>
      <x:c r="E192" s="11" t="n">
        <x:v>26.4</x:v>
      </x:c>
    </x:row>
    <x:row r="193" ht="40" customHeight="1">
      <x:c r="A193" s="3" t="str">
        <x:v>FW-E024</x:v>
      </x:c>
      <x:c r="B193" s="8" t="n">
        <x:v>46367</x:v>
      </x:c>
      <x:c r="C193" s="3" t="str">
        <x:v>INTERNAL</x:v>
      </x:c>
      <x:c r="D193" s="3" t="str">
        <x:v>Practice / pursuit allowance</x:v>
      </x:c>
      <x:c r="E193" s="12" t="n">
        <x:v>2</x:v>
      </x:c>
    </x:row>
    <x:row r="194" ht="40" customHeight="1">
      <x:c r="A194" s="6" t="str">
        <x:v>FW-E025</x:v>
      </x:c>
      <x:c r="B194" s="7" t="n">
        <x:v>46277</x:v>
      </x:c>
      <x:c r="C194" s="6" t="str">
        <x:v>FW-P143</x:v>
      </x:c>
      <x:c r="D194" s="6" t="str">
        <x:v>Contracted project work</x:v>
      </x:c>
      <x:c r="E194" s="11" t="n">
        <x:v>31.6</x:v>
      </x:c>
    </x:row>
    <x:row r="195" ht="40" customHeight="1">
      <x:c r="A195" s="3" t="str">
        <x:v>FW-E025</x:v>
      </x:c>
      <x:c r="B195" s="8" t="n">
        <x:v>46277</x:v>
      </x:c>
      <x:c r="C195" s="3" t="str">
        <x:v>INTERNAL</x:v>
      </x:c>
      <x:c r="D195" s="3" t="str">
        <x:v>Practice / pursuit allowance</x:v>
      </x:c>
      <x:c r="E195" s="12" t="n">
        <x:v>2</x:v>
      </x:c>
    </x:row>
    <x:row r="196" ht="40" customHeight="1">
      <x:c r="A196" s="6" t="str">
        <x:v>FW-E025</x:v>
      </x:c>
      <x:c r="B196" s="7" t="n">
        <x:v>46307</x:v>
      </x:c>
      <x:c r="C196" s="6" t="str">
        <x:v>FW-P143</x:v>
      </x:c>
      <x:c r="D196" s="6" t="str">
        <x:v>Contracted project work</x:v>
      </x:c>
      <x:c r="E196" s="11" t="n">
        <x:v>32.4</x:v>
      </x:c>
    </x:row>
    <x:row r="197" ht="40" customHeight="1">
      <x:c r="A197" s="3" t="str">
        <x:v>FW-E025</x:v>
      </x:c>
      <x:c r="B197" s="8" t="n">
        <x:v>46307</x:v>
      </x:c>
      <x:c r="C197" s="3" t="str">
        <x:v>INTERNAL</x:v>
      </x:c>
      <x:c r="D197" s="3" t="str">
        <x:v>Practice / pursuit allowance</x:v>
      </x:c>
      <x:c r="E197" s="12" t="n">
        <x:v>2</x:v>
      </x:c>
    </x:row>
    <x:row r="198" ht="40" customHeight="1">
      <x:c r="A198" s="6" t="str">
        <x:v>FW-E025</x:v>
      </x:c>
      <x:c r="B198" s="7" t="n">
        <x:v>46337</x:v>
      </x:c>
      <x:c r="C198" s="6" t="str">
        <x:v>FW-P143</x:v>
      </x:c>
      <x:c r="D198" s="6" t="str">
        <x:v>Contracted project work</x:v>
      </x:c>
      <x:c r="E198" s="11" t="n">
        <x:v>28.4</x:v>
      </x:c>
    </x:row>
    <x:row r="199" ht="40" customHeight="1">
      <x:c r="A199" s="3" t="str">
        <x:v>FW-E025</x:v>
      </x:c>
      <x:c r="B199" s="8" t="n">
        <x:v>46337</x:v>
      </x:c>
      <x:c r="C199" s="3" t="str">
        <x:v>INTERNAL</x:v>
      </x:c>
      <x:c r="D199" s="3" t="str">
        <x:v>Practice / pursuit allowance</x:v>
      </x:c>
      <x:c r="E199" s="12" t="n">
        <x:v>2</x:v>
      </x:c>
    </x:row>
    <x:row r="200" ht="40" customHeight="1">
      <x:c r="A200" s="6" t="str">
        <x:v>FW-E025</x:v>
      </x:c>
      <x:c r="B200" s="7" t="n">
        <x:v>46367</x:v>
      </x:c>
      <x:c r="C200" s="6" t="str">
        <x:v>FW-P143</x:v>
      </x:c>
      <x:c r="D200" s="6" t="str">
        <x:v>Contracted project work</x:v>
      </x:c>
      <x:c r="E200" s="11" t="n">
        <x:v>26.4</x:v>
      </x:c>
    </x:row>
    <x:row r="201" ht="40" customHeight="1">
      <x:c r="A201" s="3" t="str">
        <x:v>FW-E025</x:v>
      </x:c>
      <x:c r="B201" s="8" t="n">
        <x:v>46367</x:v>
      </x:c>
      <x:c r="C201" s="3" t="str">
        <x:v>INTERNAL</x:v>
      </x:c>
      <x:c r="D201" s="3" t="str">
        <x:v>Practice / pursuit allowance</x:v>
      </x:c>
      <x:c r="E201" s="12" t="n">
        <x:v>2</x:v>
      </x:c>
    </x:row>
    <x:row r="202" ht="40" customHeight="1">
      <x:c r="A202" s="6" t="str">
        <x:v>FW-E026</x:v>
      </x:c>
      <x:c r="B202" s="7" t="n">
        <x:v>46277</x:v>
      </x:c>
      <x:c r="C202" s="6" t="str">
        <x:v>FW-P144</x:v>
      </x:c>
      <x:c r="D202" s="6" t="str">
        <x:v>Contracted project work</x:v>
      </x:c>
      <x:c r="E202" s="11" t="n">
        <x:v>31.6</x:v>
      </x:c>
    </x:row>
    <x:row r="203" ht="40" customHeight="1">
      <x:c r="A203" s="3" t="str">
        <x:v>FW-E026</x:v>
      </x:c>
      <x:c r="B203" s="8" t="n">
        <x:v>46277</x:v>
      </x:c>
      <x:c r="C203" s="3" t="str">
        <x:v>INTERNAL</x:v>
      </x:c>
      <x:c r="D203" s="3" t="str">
        <x:v>Practice / pursuit allowance</x:v>
      </x:c>
      <x:c r="E203" s="12" t="n">
        <x:v>2</x:v>
      </x:c>
    </x:row>
    <x:row r="204" ht="40" customHeight="1">
      <x:c r="A204" s="6" t="str">
        <x:v>FW-E026</x:v>
      </x:c>
      <x:c r="B204" s="7" t="n">
        <x:v>46307</x:v>
      </x:c>
      <x:c r="C204" s="6" t="str">
        <x:v>FW-P144</x:v>
      </x:c>
      <x:c r="D204" s="6" t="str">
        <x:v>Contracted project work</x:v>
      </x:c>
      <x:c r="E204" s="11" t="n">
        <x:v>32.4</x:v>
      </x:c>
    </x:row>
    <x:row r="205" ht="40" customHeight="1">
      <x:c r="A205" s="3" t="str">
        <x:v>FW-E026</x:v>
      </x:c>
      <x:c r="B205" s="8" t="n">
        <x:v>46307</x:v>
      </x:c>
      <x:c r="C205" s="3" t="str">
        <x:v>INTERNAL</x:v>
      </x:c>
      <x:c r="D205" s="3" t="str">
        <x:v>Practice / pursuit allowance</x:v>
      </x:c>
      <x:c r="E205" s="12" t="n">
        <x:v>2</x:v>
      </x:c>
    </x:row>
    <x:row r="206" ht="40" customHeight="1">
      <x:c r="A206" s="6" t="str">
        <x:v>FW-E026</x:v>
      </x:c>
      <x:c r="B206" s="7" t="n">
        <x:v>46337</x:v>
      </x:c>
      <x:c r="C206" s="6" t="str">
        <x:v>FW-P144</x:v>
      </x:c>
      <x:c r="D206" s="6" t="str">
        <x:v>Contracted project work</x:v>
      </x:c>
      <x:c r="E206" s="11" t="n">
        <x:v>28.4</x:v>
      </x:c>
    </x:row>
    <x:row r="207" ht="40" customHeight="1">
      <x:c r="A207" s="3" t="str">
        <x:v>FW-E026</x:v>
      </x:c>
      <x:c r="B207" s="8" t="n">
        <x:v>46337</x:v>
      </x:c>
      <x:c r="C207" s="3" t="str">
        <x:v>INTERNAL</x:v>
      </x:c>
      <x:c r="D207" s="3" t="str">
        <x:v>Practice / pursuit allowance</x:v>
      </x:c>
      <x:c r="E207" s="12" t="n">
        <x:v>2</x:v>
      </x:c>
    </x:row>
    <x:row r="208" ht="40" customHeight="1">
      <x:c r="A208" s="6" t="str">
        <x:v>FW-E026</x:v>
      </x:c>
      <x:c r="B208" s="7" t="n">
        <x:v>46367</x:v>
      </x:c>
      <x:c r="C208" s="6" t="str">
        <x:v>FW-P144</x:v>
      </x:c>
      <x:c r="D208" s="6" t="str">
        <x:v>Contracted project work</x:v>
      </x:c>
      <x:c r="E208" s="11" t="n">
        <x:v>26.4</x:v>
      </x:c>
    </x:row>
    <x:row r="209" ht="40" customHeight="1">
      <x:c r="A209" s="3" t="str">
        <x:v>FW-E026</x:v>
      </x:c>
      <x:c r="B209" s="8" t="n">
        <x:v>46367</x:v>
      </x:c>
      <x:c r="C209" s="3" t="str">
        <x:v>INTERNAL</x:v>
      </x:c>
      <x:c r="D209" s="3" t="str">
        <x:v>Practice / pursuit allowance</x:v>
      </x:c>
      <x:c r="E209" s="12" t="n">
        <x:v>2</x:v>
      </x:c>
    </x:row>
    <x:row r="210" ht="40" customHeight="1">
      <x:c r="A210" s="6" t="str">
        <x:v>FW-E027</x:v>
      </x:c>
      <x:c r="B210" s="7" t="n">
        <x:v>46277</x:v>
      </x:c>
      <x:c r="C210" s="6" t="str">
        <x:v>FW-P145</x:v>
      </x:c>
      <x:c r="D210" s="6" t="str">
        <x:v>Contracted project work</x:v>
      </x:c>
      <x:c r="E210" s="11" t="n">
        <x:v>31.6</x:v>
      </x:c>
    </x:row>
    <x:row r="211" ht="40" customHeight="1">
      <x:c r="A211" s="3" t="str">
        <x:v>FW-E027</x:v>
      </x:c>
      <x:c r="B211" s="8" t="n">
        <x:v>46277</x:v>
      </x:c>
      <x:c r="C211" s="3" t="str">
        <x:v>INTERNAL</x:v>
      </x:c>
      <x:c r="D211" s="3" t="str">
        <x:v>Practice / pursuit allowance</x:v>
      </x:c>
      <x:c r="E211" s="12" t="n">
        <x:v>2</x:v>
      </x:c>
    </x:row>
    <x:row r="212" ht="40" customHeight="1">
      <x:c r="A212" s="6" t="str">
        <x:v>FW-E027</x:v>
      </x:c>
      <x:c r="B212" s="7" t="n">
        <x:v>46307</x:v>
      </x:c>
      <x:c r="C212" s="6" t="str">
        <x:v>FW-P145</x:v>
      </x:c>
      <x:c r="D212" s="6" t="str">
        <x:v>Contracted project work</x:v>
      </x:c>
      <x:c r="E212" s="11" t="n">
        <x:v>32.4</x:v>
      </x:c>
    </x:row>
    <x:row r="213" ht="40" customHeight="1">
      <x:c r="A213" s="3" t="str">
        <x:v>FW-E027</x:v>
      </x:c>
      <x:c r="B213" s="8" t="n">
        <x:v>46307</x:v>
      </x:c>
      <x:c r="C213" s="3" t="str">
        <x:v>INTERNAL</x:v>
      </x:c>
      <x:c r="D213" s="3" t="str">
        <x:v>Practice / pursuit allowance</x:v>
      </x:c>
      <x:c r="E213" s="12" t="n">
        <x:v>2</x:v>
      </x:c>
    </x:row>
    <x:row r="214" ht="40" customHeight="1">
      <x:c r="A214" s="6" t="str">
        <x:v>FW-E027</x:v>
      </x:c>
      <x:c r="B214" s="7" t="n">
        <x:v>46337</x:v>
      </x:c>
      <x:c r="C214" s="6" t="str">
        <x:v>FW-P145</x:v>
      </x:c>
      <x:c r="D214" s="6" t="str">
        <x:v>Contracted project work</x:v>
      </x:c>
      <x:c r="E214" s="11" t="n">
        <x:v>28.4</x:v>
      </x:c>
    </x:row>
    <x:row r="215" ht="40" customHeight="1">
      <x:c r="A215" s="3" t="str">
        <x:v>FW-E027</x:v>
      </x:c>
      <x:c r="B215" s="8" t="n">
        <x:v>46337</x:v>
      </x:c>
      <x:c r="C215" s="3" t="str">
        <x:v>INTERNAL</x:v>
      </x:c>
      <x:c r="D215" s="3" t="str">
        <x:v>Practice / pursuit allowance</x:v>
      </x:c>
      <x:c r="E215" s="12" t="n">
        <x:v>2</x:v>
      </x:c>
    </x:row>
    <x:row r="216" ht="40" customHeight="1">
      <x:c r="A216" s="6" t="str">
        <x:v>FW-E027</x:v>
      </x:c>
      <x:c r="B216" s="7" t="n">
        <x:v>46367</x:v>
      </x:c>
      <x:c r="C216" s="6" t="str">
        <x:v>FW-P145</x:v>
      </x:c>
      <x:c r="D216" s="6" t="str">
        <x:v>Contracted project work</x:v>
      </x:c>
      <x:c r="E216" s="11" t="n">
        <x:v>26.4</x:v>
      </x:c>
    </x:row>
    <x:row r="217" ht="40" customHeight="1">
      <x:c r="A217" s="3" t="str">
        <x:v>FW-E027</x:v>
      </x:c>
      <x:c r="B217" s="8" t="n">
        <x:v>46367</x:v>
      </x:c>
      <x:c r="C217" s="3" t="str">
        <x:v>INTERNAL</x:v>
      </x:c>
      <x:c r="D217" s="3" t="str">
        <x:v>Practice / pursuit allowance</x:v>
      </x:c>
      <x:c r="E217" s="12" t="n">
        <x:v>2</x:v>
      </x:c>
    </x:row>
    <x:row r="218" ht="40" customHeight="1">
      <x:c r="A218" s="6" t="str">
        <x:v>FW-E028</x:v>
      </x:c>
      <x:c r="B218" s="7" t="n">
        <x:v>46277</x:v>
      </x:c>
      <x:c r="C218" s="6" t="str">
        <x:v>FW-P146</x:v>
      </x:c>
      <x:c r="D218" s="6" t="str">
        <x:v>Contracted project work</x:v>
      </x:c>
      <x:c r="E218" s="11" t="n">
        <x:v>31.6</x:v>
      </x:c>
    </x:row>
    <x:row r="219" ht="40" customHeight="1">
      <x:c r="A219" s="3" t="str">
        <x:v>FW-E028</x:v>
      </x:c>
      <x:c r="B219" s="8" t="n">
        <x:v>46277</x:v>
      </x:c>
      <x:c r="C219" s="3" t="str">
        <x:v>INTERNAL</x:v>
      </x:c>
      <x:c r="D219" s="3" t="str">
        <x:v>Practice / pursuit allowance</x:v>
      </x:c>
      <x:c r="E219" s="12" t="n">
        <x:v>2</x:v>
      </x:c>
    </x:row>
    <x:row r="220" ht="40" customHeight="1">
      <x:c r="A220" s="6" t="str">
        <x:v>FW-E028</x:v>
      </x:c>
      <x:c r="B220" s="7" t="n">
        <x:v>46307</x:v>
      </x:c>
      <x:c r="C220" s="6" t="str">
        <x:v>FW-P146</x:v>
      </x:c>
      <x:c r="D220" s="6" t="str">
        <x:v>Contracted project work</x:v>
      </x:c>
      <x:c r="E220" s="11" t="n">
        <x:v>32.4</x:v>
      </x:c>
    </x:row>
    <x:row r="221" ht="40" customHeight="1">
      <x:c r="A221" s="3" t="str">
        <x:v>FW-E028</x:v>
      </x:c>
      <x:c r="B221" s="8" t="n">
        <x:v>46307</x:v>
      </x:c>
      <x:c r="C221" s="3" t="str">
        <x:v>INTERNAL</x:v>
      </x:c>
      <x:c r="D221" s="3" t="str">
        <x:v>Practice / pursuit allowance</x:v>
      </x:c>
      <x:c r="E221" s="12" t="n">
        <x:v>2</x:v>
      </x:c>
    </x:row>
    <x:row r="222" ht="40" customHeight="1">
      <x:c r="A222" s="6" t="str">
        <x:v>FW-E028</x:v>
      </x:c>
      <x:c r="B222" s="7" t="n">
        <x:v>46337</x:v>
      </x:c>
      <x:c r="C222" s="6" t="str">
        <x:v>FW-P146</x:v>
      </x:c>
      <x:c r="D222" s="6" t="str">
        <x:v>Contracted project work</x:v>
      </x:c>
      <x:c r="E222" s="11" t="n">
        <x:v>28.4</x:v>
      </x:c>
    </x:row>
    <x:row r="223" ht="40" customHeight="1">
      <x:c r="A223" s="3" t="str">
        <x:v>FW-E028</x:v>
      </x:c>
      <x:c r="B223" s="8" t="n">
        <x:v>46337</x:v>
      </x:c>
      <x:c r="C223" s="3" t="str">
        <x:v>INTERNAL</x:v>
      </x:c>
      <x:c r="D223" s="3" t="str">
        <x:v>Practice / pursuit allowance</x:v>
      </x:c>
      <x:c r="E223" s="12" t="n">
        <x:v>2</x:v>
      </x:c>
    </x:row>
    <x:row r="224" ht="40" customHeight="1">
      <x:c r="A224" s="6" t="str">
        <x:v>FW-E028</x:v>
      </x:c>
      <x:c r="B224" s="7" t="n">
        <x:v>46367</x:v>
      </x:c>
      <x:c r="C224" s="6" t="str">
        <x:v>FW-P146</x:v>
      </x:c>
      <x:c r="D224" s="6" t="str">
        <x:v>Contracted project work</x:v>
      </x:c>
      <x:c r="E224" s="11" t="n">
        <x:v>26.4</x:v>
      </x:c>
    </x:row>
    <x:row r="225" ht="40" customHeight="1">
      <x:c r="A225" s="3" t="str">
        <x:v>FW-E028</x:v>
      </x:c>
      <x:c r="B225" s="8" t="n">
        <x:v>46367</x:v>
      </x:c>
      <x:c r="C225" s="3" t="str">
        <x:v>INTERNAL</x:v>
      </x:c>
      <x:c r="D225" s="3" t="str">
        <x:v>Practice / pursuit allowance</x:v>
      </x:c>
      <x:c r="E225" s="12" t="n">
        <x:v>2</x:v>
      </x:c>
    </x:row>
    <x:row r="226" ht="40" customHeight="1">
      <x:c r="A226" s="6" t="str">
        <x:v>FW-E029</x:v>
      </x:c>
      <x:c r="B226" s="7" t="n">
        <x:v>46277</x:v>
      </x:c>
      <x:c r="C226" s="6" t="str">
        <x:v>FW-P147</x:v>
      </x:c>
      <x:c r="D226" s="6" t="str">
        <x:v>Contracted project work</x:v>
      </x:c>
      <x:c r="E226" s="11" t="n">
        <x:v>31.6</x:v>
      </x:c>
    </x:row>
    <x:row r="227" ht="40" customHeight="1">
      <x:c r="A227" s="3" t="str">
        <x:v>FW-E029</x:v>
      </x:c>
      <x:c r="B227" s="8" t="n">
        <x:v>46277</x:v>
      </x:c>
      <x:c r="C227" s="3" t="str">
        <x:v>INTERNAL</x:v>
      </x:c>
      <x:c r="D227" s="3" t="str">
        <x:v>Practice / pursuit allowance</x:v>
      </x:c>
      <x:c r="E227" s="12" t="n">
        <x:v>2</x:v>
      </x:c>
    </x:row>
    <x:row r="228" ht="40" customHeight="1">
      <x:c r="A228" s="6" t="str">
        <x:v>FW-E029</x:v>
      </x:c>
      <x:c r="B228" s="7" t="n">
        <x:v>46307</x:v>
      </x:c>
      <x:c r="C228" s="6" t="str">
        <x:v>FW-P147</x:v>
      </x:c>
      <x:c r="D228" s="6" t="str">
        <x:v>Contracted project work</x:v>
      </x:c>
      <x:c r="E228" s="11" t="n">
        <x:v>32.4</x:v>
      </x:c>
    </x:row>
    <x:row r="229" ht="40" customHeight="1">
      <x:c r="A229" s="3" t="str">
        <x:v>FW-E029</x:v>
      </x:c>
      <x:c r="B229" s="8" t="n">
        <x:v>46307</x:v>
      </x:c>
      <x:c r="C229" s="3" t="str">
        <x:v>INTERNAL</x:v>
      </x:c>
      <x:c r="D229" s="3" t="str">
        <x:v>Practice / pursuit allowance</x:v>
      </x:c>
      <x:c r="E229" s="12" t="n">
        <x:v>2</x:v>
      </x:c>
    </x:row>
    <x:row r="230" ht="40" customHeight="1">
      <x:c r="A230" s="6" t="str">
        <x:v>FW-E029</x:v>
      </x:c>
      <x:c r="B230" s="7" t="n">
        <x:v>46337</x:v>
      </x:c>
      <x:c r="C230" s="6" t="str">
        <x:v>FW-P147</x:v>
      </x:c>
      <x:c r="D230" s="6" t="str">
        <x:v>Contracted project work</x:v>
      </x:c>
      <x:c r="E230" s="11" t="n">
        <x:v>28</x:v>
      </x:c>
    </x:row>
    <x:row r="231" ht="40" customHeight="1">
      <x:c r="A231" s="3" t="str">
        <x:v>FW-E029</x:v>
      </x:c>
      <x:c r="B231" s="8" t="n">
        <x:v>46337</x:v>
      </x:c>
      <x:c r="C231" s="3" t="str">
        <x:v>INTERNAL</x:v>
      </x:c>
      <x:c r="D231" s="3" t="str">
        <x:v>Practice / pursuit allowance</x:v>
      </x:c>
      <x:c r="E231" s="12" t="n">
        <x:v>2</x:v>
      </x:c>
    </x:row>
    <x:row r="232" ht="40" customHeight="1">
      <x:c r="A232" s="6" t="str">
        <x:v>FW-E029</x:v>
      </x:c>
      <x:c r="B232" s="7" t="n">
        <x:v>46367</x:v>
      </x:c>
      <x:c r="C232" s="6" t="str">
        <x:v>FW-P147</x:v>
      </x:c>
      <x:c r="D232" s="6" t="str">
        <x:v>Contracted project work</x:v>
      </x:c>
      <x:c r="E232" s="11" t="n">
        <x:v>26</x:v>
      </x:c>
    </x:row>
    <x:row r="233" ht="40" customHeight="1">
      <x:c r="A233" s="3" t="str">
        <x:v>FW-E029</x:v>
      </x:c>
      <x:c r="B233" s="8" t="n">
        <x:v>46367</x:v>
      </x:c>
      <x:c r="C233" s="3" t="str">
        <x:v>INTERNAL</x:v>
      </x:c>
      <x:c r="D233" s="3" t="str">
        <x:v>Practice / pursuit allowance</x:v>
      </x:c>
      <x:c r="E233" s="12" t="n">
        <x:v>2</x:v>
      </x:c>
    </x:row>
    <x:row r="234" ht="40" customHeight="1">
      <x:c r="A234" s="6" t="str">
        <x:v>FW-E030</x:v>
      </x:c>
      <x:c r="B234" s="7" t="n">
        <x:v>46277</x:v>
      </x:c>
      <x:c r="C234" s="6" t="str">
        <x:v>FW-P148</x:v>
      </x:c>
      <x:c r="D234" s="6" t="str">
        <x:v>Contracted project work</x:v>
      </x:c>
      <x:c r="E234" s="11" t="n">
        <x:v>31.6</x:v>
      </x:c>
    </x:row>
    <x:row r="235" ht="40" customHeight="1">
      <x:c r="A235" s="3" t="str">
        <x:v>FW-E030</x:v>
      </x:c>
      <x:c r="B235" s="8" t="n">
        <x:v>46277</x:v>
      </x:c>
      <x:c r="C235" s="3" t="str">
        <x:v>INTERNAL</x:v>
      </x:c>
      <x:c r="D235" s="3" t="str">
        <x:v>Practice / pursuit allowance</x:v>
      </x:c>
      <x:c r="E235" s="12" t="n">
        <x:v>2</x:v>
      </x:c>
    </x:row>
    <x:row r="236" ht="40" customHeight="1">
      <x:c r="A236" s="6" t="str">
        <x:v>FW-E030</x:v>
      </x:c>
      <x:c r="B236" s="7" t="n">
        <x:v>46307</x:v>
      </x:c>
      <x:c r="C236" s="6" t="str">
        <x:v>FW-P148</x:v>
      </x:c>
      <x:c r="D236" s="6" t="str">
        <x:v>Contracted project work</x:v>
      </x:c>
      <x:c r="E236" s="11" t="n">
        <x:v>32.4</x:v>
      </x:c>
    </x:row>
    <x:row r="237" ht="40" customHeight="1">
      <x:c r="A237" s="3" t="str">
        <x:v>FW-E030</x:v>
      </x:c>
      <x:c r="B237" s="8" t="n">
        <x:v>46307</x:v>
      </x:c>
      <x:c r="C237" s="3" t="str">
        <x:v>INTERNAL</x:v>
      </x:c>
      <x:c r="D237" s="3" t="str">
        <x:v>Practice / pursuit allowance</x:v>
      </x:c>
      <x:c r="E237" s="12" t="n">
        <x:v>2</x:v>
      </x:c>
    </x:row>
    <x:row r="238" ht="40" customHeight="1">
      <x:c r="A238" s="6" t="str">
        <x:v>FW-E030</x:v>
      </x:c>
      <x:c r="B238" s="7" t="n">
        <x:v>46337</x:v>
      </x:c>
      <x:c r="C238" s="6" t="str">
        <x:v>FW-P148</x:v>
      </x:c>
      <x:c r="D238" s="6" t="str">
        <x:v>Contracted project work</x:v>
      </x:c>
      <x:c r="E238" s="11" t="n">
        <x:v>28</x:v>
      </x:c>
    </x:row>
    <x:row r="239" ht="40" customHeight="1">
      <x:c r="A239" s="3" t="str">
        <x:v>FW-E030</x:v>
      </x:c>
      <x:c r="B239" s="8" t="n">
        <x:v>46337</x:v>
      </x:c>
      <x:c r="C239" s="3" t="str">
        <x:v>INTERNAL</x:v>
      </x:c>
      <x:c r="D239" s="3" t="str">
        <x:v>Practice / pursuit allowance</x:v>
      </x:c>
      <x:c r="E239" s="12" t="n">
        <x:v>2</x:v>
      </x:c>
    </x:row>
    <x:row r="240" ht="40" customHeight="1">
      <x:c r="A240" s="6" t="str">
        <x:v>FW-E030</x:v>
      </x:c>
      <x:c r="B240" s="7" t="n">
        <x:v>46367</x:v>
      </x:c>
      <x:c r="C240" s="6" t="str">
        <x:v>FW-P148</x:v>
      </x:c>
      <x:c r="D240" s="6" t="str">
        <x:v>Contracted project work</x:v>
      </x:c>
      <x:c r="E240" s="11" t="n">
        <x:v>26</x:v>
      </x:c>
    </x:row>
    <x:row r="241" ht="40" customHeight="1">
      <x:c r="A241" s="3" t="str">
        <x:v>FW-E030</x:v>
      </x:c>
      <x:c r="B241" s="8" t="n">
        <x:v>46367</x:v>
      </x:c>
      <x:c r="C241" s="3" t="str">
        <x:v>INTERNAL</x:v>
      </x:c>
      <x:c r="D241" s="3" t="str">
        <x:v>Practice / pursuit allowance</x:v>
      </x:c>
      <x:c r="E241" s="12" t="n">
        <x:v>2</x:v>
      </x:c>
    </x:row>
    <x:row r="242" ht="40" customHeight="1">
      <x:c r="A242" s="6" t="str">
        <x:v>FW-E031</x:v>
      </x:c>
      <x:c r="B242" s="7" t="n">
        <x:v>46277</x:v>
      </x:c>
      <x:c r="C242" s="6" t="str">
        <x:v>FW-P149</x:v>
      </x:c>
      <x:c r="D242" s="6" t="str">
        <x:v>Contracted project work</x:v>
      </x:c>
      <x:c r="E242" s="11" t="n">
        <x:v>31.6</x:v>
      </x:c>
    </x:row>
    <x:row r="243" ht="40" customHeight="1">
      <x:c r="A243" s="3" t="str">
        <x:v>FW-E031</x:v>
      </x:c>
      <x:c r="B243" s="8" t="n">
        <x:v>46277</x:v>
      </x:c>
      <x:c r="C243" s="3" t="str">
        <x:v>INTERNAL</x:v>
      </x:c>
      <x:c r="D243" s="3" t="str">
        <x:v>Practice / pursuit allowance</x:v>
      </x:c>
      <x:c r="E243" s="12" t="n">
        <x:v>2</x:v>
      </x:c>
    </x:row>
    <x:row r="244" ht="40" customHeight="1">
      <x:c r="A244" s="6" t="str">
        <x:v>FW-E031</x:v>
      </x:c>
      <x:c r="B244" s="7" t="n">
        <x:v>46307</x:v>
      </x:c>
      <x:c r="C244" s="6" t="str">
        <x:v>FW-P149</x:v>
      </x:c>
      <x:c r="D244" s="6" t="str">
        <x:v>Contracted project work</x:v>
      </x:c>
      <x:c r="E244" s="11" t="n">
        <x:v>32.4</x:v>
      </x:c>
    </x:row>
    <x:row r="245" ht="40" customHeight="1">
      <x:c r="A245" s="3" t="str">
        <x:v>FW-E031</x:v>
      </x:c>
      <x:c r="B245" s="8" t="n">
        <x:v>46307</x:v>
      </x:c>
      <x:c r="C245" s="3" t="str">
        <x:v>INTERNAL</x:v>
      </x:c>
      <x:c r="D245" s="3" t="str">
        <x:v>Practice / pursuit allowance</x:v>
      </x:c>
      <x:c r="E245" s="12" t="n">
        <x:v>2</x:v>
      </x:c>
    </x:row>
    <x:row r="246" ht="40" customHeight="1">
      <x:c r="A246" s="6" t="str">
        <x:v>FW-E031</x:v>
      </x:c>
      <x:c r="B246" s="7" t="n">
        <x:v>46337</x:v>
      </x:c>
      <x:c r="C246" s="6" t="str">
        <x:v>FW-P149</x:v>
      </x:c>
      <x:c r="D246" s="6" t="str">
        <x:v>Contracted project work</x:v>
      </x:c>
      <x:c r="E246" s="11" t="n">
        <x:v>28</x:v>
      </x:c>
    </x:row>
    <x:row r="247" ht="40" customHeight="1">
      <x:c r="A247" s="3" t="str">
        <x:v>FW-E031</x:v>
      </x:c>
      <x:c r="B247" s="8" t="n">
        <x:v>46337</x:v>
      </x:c>
      <x:c r="C247" s="3" t="str">
        <x:v>INTERNAL</x:v>
      </x:c>
      <x:c r="D247" s="3" t="str">
        <x:v>Practice / pursuit allowance</x:v>
      </x:c>
      <x:c r="E247" s="12" t="n">
        <x:v>2</x:v>
      </x:c>
    </x:row>
    <x:row r="248" ht="40" customHeight="1">
      <x:c r="A248" s="6" t="str">
        <x:v>FW-E031</x:v>
      </x:c>
      <x:c r="B248" s="7" t="n">
        <x:v>46367</x:v>
      </x:c>
      <x:c r="C248" s="6" t="str">
        <x:v>FW-P149</x:v>
      </x:c>
      <x:c r="D248" s="6" t="str">
        <x:v>Contracted project work</x:v>
      </x:c>
      <x:c r="E248" s="11" t="n">
        <x:v>26</x:v>
      </x:c>
    </x:row>
    <x:row r="249" ht="40" customHeight="1">
      <x:c r="A249" s="3" t="str">
        <x:v>FW-E031</x:v>
      </x:c>
      <x:c r="B249" s="8" t="n">
        <x:v>46367</x:v>
      </x:c>
      <x:c r="C249" s="3" t="str">
        <x:v>INTERNAL</x:v>
      </x:c>
      <x:c r="D249" s="3" t="str">
        <x:v>Practice / pursuit allowance</x:v>
      </x:c>
      <x:c r="E249" s="12" t="n">
        <x:v>2</x:v>
      </x:c>
    </x:row>
    <x:row r="250" ht="40" customHeight="1">
      <x:c r="A250" s="6" t="str">
        <x:v>FW-E032</x:v>
      </x:c>
      <x:c r="B250" s="7" t="n">
        <x:v>46277</x:v>
      </x:c>
      <x:c r="C250" s="6" t="str">
        <x:v>FW-P150</x:v>
      </x:c>
      <x:c r="D250" s="6" t="str">
        <x:v>Contracted project work</x:v>
      </x:c>
      <x:c r="E250" s="11" t="n">
        <x:v>31.6</x:v>
      </x:c>
    </x:row>
    <x:row r="251" ht="40" customHeight="1">
      <x:c r="A251" s="3" t="str">
        <x:v>FW-E032</x:v>
      </x:c>
      <x:c r="B251" s="8" t="n">
        <x:v>46277</x:v>
      </x:c>
      <x:c r="C251" s="3" t="str">
        <x:v>INTERNAL</x:v>
      </x:c>
      <x:c r="D251" s="3" t="str">
        <x:v>Practice / pursuit allowance</x:v>
      </x:c>
      <x:c r="E251" s="12" t="n">
        <x:v>2</x:v>
      </x:c>
    </x:row>
    <x:row r="252" ht="40" customHeight="1">
      <x:c r="A252" s="6" t="str">
        <x:v>FW-E032</x:v>
      </x:c>
      <x:c r="B252" s="7" t="n">
        <x:v>46307</x:v>
      </x:c>
      <x:c r="C252" s="6" t="str">
        <x:v>FW-P150</x:v>
      </x:c>
      <x:c r="D252" s="6" t="str">
        <x:v>Contracted project work</x:v>
      </x:c>
      <x:c r="E252" s="11" t="n">
        <x:v>32.4</x:v>
      </x:c>
    </x:row>
    <x:row r="253" ht="40" customHeight="1">
      <x:c r="A253" s="3" t="str">
        <x:v>FW-E032</x:v>
      </x:c>
      <x:c r="B253" s="8" t="n">
        <x:v>46307</x:v>
      </x:c>
      <x:c r="C253" s="3" t="str">
        <x:v>INTERNAL</x:v>
      </x:c>
      <x:c r="D253" s="3" t="str">
        <x:v>Practice / pursuit allowance</x:v>
      </x:c>
      <x:c r="E253" s="12" t="n">
        <x:v>2</x:v>
      </x:c>
    </x:row>
    <x:row r="254" ht="40" customHeight="1">
      <x:c r="A254" s="6" t="str">
        <x:v>FW-E032</x:v>
      </x:c>
      <x:c r="B254" s="7" t="n">
        <x:v>46337</x:v>
      </x:c>
      <x:c r="C254" s="6" t="str">
        <x:v>FW-P150</x:v>
      </x:c>
      <x:c r="D254" s="6" t="str">
        <x:v>Contracted project work</x:v>
      </x:c>
      <x:c r="E254" s="11" t="n">
        <x:v>28</x:v>
      </x:c>
    </x:row>
    <x:row r="255" ht="40" customHeight="1">
      <x:c r="A255" s="3" t="str">
        <x:v>FW-E032</x:v>
      </x:c>
      <x:c r="B255" s="8" t="n">
        <x:v>46337</x:v>
      </x:c>
      <x:c r="C255" s="3" t="str">
        <x:v>INTERNAL</x:v>
      </x:c>
      <x:c r="D255" s="3" t="str">
        <x:v>Practice / pursuit allowance</x:v>
      </x:c>
      <x:c r="E255" s="12" t="n">
        <x:v>2</x:v>
      </x:c>
    </x:row>
    <x:row r="256" ht="40" customHeight="1">
      <x:c r="A256" s="6" t="str">
        <x:v>FW-E032</x:v>
      </x:c>
      <x:c r="B256" s="7" t="n">
        <x:v>46367</x:v>
      </x:c>
      <x:c r="C256" s="6" t="str">
        <x:v>FW-P150</x:v>
      </x:c>
      <x:c r="D256" s="6" t="str">
        <x:v>Contracted project work</x:v>
      </x:c>
      <x:c r="E256" s="11" t="n">
        <x:v>26</x:v>
      </x:c>
    </x:row>
    <x:row r="257" ht="40" customHeight="1">
      <x:c r="A257" s="3" t="str">
        <x:v>FW-E032</x:v>
      </x:c>
      <x:c r="B257" s="8" t="n">
        <x:v>46367</x:v>
      </x:c>
      <x:c r="C257" s="3" t="str">
        <x:v>INTERNAL</x:v>
      </x:c>
      <x:c r="D257" s="3" t="str">
        <x:v>Practice / pursuit allowance</x:v>
      </x:c>
      <x:c r="E257" s="12" t="n">
        <x:v>2</x:v>
      </x:c>
    </x:row>
    <x:row r="258" ht="40" customHeight="1">
      <x:c r="A258" s="6" t="str">
        <x:v>FW-E033</x:v>
      </x:c>
      <x:c r="B258" s="7" t="n">
        <x:v>46277</x:v>
      </x:c>
      <x:c r="C258" s="6" t="str">
        <x:v>FW-P151</x:v>
      </x:c>
      <x:c r="D258" s="6" t="str">
        <x:v>Contracted project work</x:v>
      </x:c>
      <x:c r="E258" s="11" t="n">
        <x:v>31.6</x:v>
      </x:c>
    </x:row>
    <x:row r="259" ht="40" customHeight="1">
      <x:c r="A259" s="3" t="str">
        <x:v>FW-E033</x:v>
      </x:c>
      <x:c r="B259" s="8" t="n">
        <x:v>46277</x:v>
      </x:c>
      <x:c r="C259" s="3" t="str">
        <x:v>INTERNAL</x:v>
      </x:c>
      <x:c r="D259" s="3" t="str">
        <x:v>Practice / pursuit allowance</x:v>
      </x:c>
      <x:c r="E259" s="12" t="n">
        <x:v>2</x:v>
      </x:c>
    </x:row>
    <x:row r="260" ht="40" customHeight="1">
      <x:c r="A260" s="6" t="str">
        <x:v>FW-E033</x:v>
      </x:c>
      <x:c r="B260" s="7" t="n">
        <x:v>46307</x:v>
      </x:c>
      <x:c r="C260" s="6" t="str">
        <x:v>FW-P151</x:v>
      </x:c>
      <x:c r="D260" s="6" t="str">
        <x:v>Contracted project work</x:v>
      </x:c>
      <x:c r="E260" s="11" t="n">
        <x:v>32.4</x:v>
      </x:c>
    </x:row>
    <x:row r="261" ht="40" customHeight="1">
      <x:c r="A261" s="3" t="str">
        <x:v>FW-E033</x:v>
      </x:c>
      <x:c r="B261" s="8" t="n">
        <x:v>46307</x:v>
      </x:c>
      <x:c r="C261" s="3" t="str">
        <x:v>INTERNAL</x:v>
      </x:c>
      <x:c r="D261" s="3" t="str">
        <x:v>Practice / pursuit allowance</x:v>
      </x:c>
      <x:c r="E261" s="12" t="n">
        <x:v>2</x:v>
      </x:c>
    </x:row>
    <x:row r="262" ht="40" customHeight="1">
      <x:c r="A262" s="6" t="str">
        <x:v>FW-E033</x:v>
      </x:c>
      <x:c r="B262" s="7" t="n">
        <x:v>46337</x:v>
      </x:c>
      <x:c r="C262" s="6" t="str">
        <x:v>FW-P151</x:v>
      </x:c>
      <x:c r="D262" s="6" t="str">
        <x:v>Contracted project work</x:v>
      </x:c>
      <x:c r="E262" s="11" t="n">
        <x:v>28</x:v>
      </x:c>
    </x:row>
    <x:row r="263" ht="40" customHeight="1">
      <x:c r="A263" s="3" t="str">
        <x:v>FW-E033</x:v>
      </x:c>
      <x:c r="B263" s="8" t="n">
        <x:v>46337</x:v>
      </x:c>
      <x:c r="C263" s="3" t="str">
        <x:v>INTERNAL</x:v>
      </x:c>
      <x:c r="D263" s="3" t="str">
        <x:v>Practice / pursuit allowance</x:v>
      </x:c>
      <x:c r="E263" s="12" t="n">
        <x:v>2</x:v>
      </x:c>
    </x:row>
    <x:row r="264" ht="40" customHeight="1">
      <x:c r="A264" s="6" t="str">
        <x:v>FW-E033</x:v>
      </x:c>
      <x:c r="B264" s="7" t="n">
        <x:v>46367</x:v>
      </x:c>
      <x:c r="C264" s="6" t="str">
        <x:v>FW-P151</x:v>
      </x:c>
      <x:c r="D264" s="6" t="str">
        <x:v>Contracted project work</x:v>
      </x:c>
      <x:c r="E264" s="11" t="n">
        <x:v>26</x:v>
      </x:c>
    </x:row>
    <x:row r="265" ht="40" customHeight="1">
      <x:c r="A265" s="3" t="str">
        <x:v>FW-E033</x:v>
      </x:c>
      <x:c r="B265" s="8" t="n">
        <x:v>46367</x:v>
      </x:c>
      <x:c r="C265" s="3" t="str">
        <x:v>INTERNAL</x:v>
      </x:c>
      <x:c r="D265" s="3" t="str">
        <x:v>Practice / pursuit allowance</x:v>
      </x:c>
      <x:c r="E265" s="12" t="n">
        <x:v>2</x:v>
      </x:c>
    </x:row>
    <x:row r="266" ht="40" customHeight="1">
      <x:c r="A266" s="6" t="str">
        <x:v>FW-E034</x:v>
      </x:c>
      <x:c r="B266" s="7" t="n">
        <x:v>46277</x:v>
      </x:c>
      <x:c r="C266" s="6" t="str">
        <x:v>FW-P152</x:v>
      </x:c>
      <x:c r="D266" s="6" t="str">
        <x:v>Contracted project work</x:v>
      </x:c>
      <x:c r="E266" s="11" t="n">
        <x:v>31.6</x:v>
      </x:c>
    </x:row>
    <x:row r="267" ht="40" customHeight="1">
      <x:c r="A267" s="3" t="str">
        <x:v>FW-E034</x:v>
      </x:c>
      <x:c r="B267" s="8" t="n">
        <x:v>46277</x:v>
      </x:c>
      <x:c r="C267" s="3" t="str">
        <x:v>INTERNAL</x:v>
      </x:c>
      <x:c r="D267" s="3" t="str">
        <x:v>Practice / pursuit allowance</x:v>
      </x:c>
      <x:c r="E267" s="12" t="n">
        <x:v>2</x:v>
      </x:c>
    </x:row>
    <x:row r="268" ht="40" customHeight="1">
      <x:c r="A268" s="6" t="str">
        <x:v>FW-E034</x:v>
      </x:c>
      <x:c r="B268" s="7" t="n">
        <x:v>46307</x:v>
      </x:c>
      <x:c r="C268" s="6" t="str">
        <x:v>FW-P152</x:v>
      </x:c>
      <x:c r="D268" s="6" t="str">
        <x:v>Contracted project work</x:v>
      </x:c>
      <x:c r="E268" s="11" t="n">
        <x:v>32.4</x:v>
      </x:c>
    </x:row>
    <x:row r="269" ht="40" customHeight="1">
      <x:c r="A269" s="3" t="str">
        <x:v>FW-E034</x:v>
      </x:c>
      <x:c r="B269" s="8" t="n">
        <x:v>46307</x:v>
      </x:c>
      <x:c r="C269" s="3" t="str">
        <x:v>INTERNAL</x:v>
      </x:c>
      <x:c r="D269" s="3" t="str">
        <x:v>Practice / pursuit allowance</x:v>
      </x:c>
      <x:c r="E269" s="12" t="n">
        <x:v>2</x:v>
      </x:c>
    </x:row>
    <x:row r="270" ht="40" customHeight="1">
      <x:c r="A270" s="6" t="str">
        <x:v>FW-E034</x:v>
      </x:c>
      <x:c r="B270" s="7" t="n">
        <x:v>46337</x:v>
      </x:c>
      <x:c r="C270" s="6" t="str">
        <x:v>FW-P152</x:v>
      </x:c>
      <x:c r="D270" s="6" t="str">
        <x:v>Contracted project work</x:v>
      </x:c>
      <x:c r="E270" s="11" t="n">
        <x:v>28</x:v>
      </x:c>
    </x:row>
    <x:row r="271" ht="40" customHeight="1">
      <x:c r="A271" s="3" t="str">
        <x:v>FW-E034</x:v>
      </x:c>
      <x:c r="B271" s="8" t="n">
        <x:v>46337</x:v>
      </x:c>
      <x:c r="C271" s="3" t="str">
        <x:v>INTERNAL</x:v>
      </x:c>
      <x:c r="D271" s="3" t="str">
        <x:v>Practice / pursuit allowance</x:v>
      </x:c>
      <x:c r="E271" s="12" t="n">
        <x:v>2</x:v>
      </x:c>
    </x:row>
    <x:row r="272" ht="40" customHeight="1">
      <x:c r="A272" s="6" t="str">
        <x:v>FW-E034</x:v>
      </x:c>
      <x:c r="B272" s="7" t="n">
        <x:v>46367</x:v>
      </x:c>
      <x:c r="C272" s="6" t="str">
        <x:v>FW-P152</x:v>
      </x:c>
      <x:c r="D272" s="6" t="str">
        <x:v>Contracted project work</x:v>
      </x:c>
      <x:c r="E272" s="11" t="n">
        <x:v>26</x:v>
      </x:c>
    </x:row>
    <x:row r="273" ht="40" customHeight="1">
      <x:c r="A273" s="3" t="str">
        <x:v>FW-E034</x:v>
      </x:c>
      <x:c r="B273" s="8" t="n">
        <x:v>46367</x:v>
      </x:c>
      <x:c r="C273" s="3" t="str">
        <x:v>INTERNAL</x:v>
      </x:c>
      <x:c r="D273" s="3" t="str">
        <x:v>Practice / pursuit allowance</x:v>
      </x:c>
      <x:c r="E273" s="12" t="n">
        <x:v>2</x:v>
      </x:c>
    </x:row>
    <x:row r="274" ht="40" customHeight="1">
      <x:c r="A274" s="6" t="str">
        <x:v>FW-E035</x:v>
      </x:c>
      <x:c r="B274" s="7" t="n">
        <x:v>46277</x:v>
      </x:c>
      <x:c r="C274" s="6" t="str">
        <x:v>FW-P153</x:v>
      </x:c>
      <x:c r="D274" s="6" t="str">
        <x:v>Contracted project work</x:v>
      </x:c>
      <x:c r="E274" s="11" t="n">
        <x:v>31.6</x:v>
      </x:c>
    </x:row>
    <x:row r="275" ht="40" customHeight="1">
      <x:c r="A275" s="3" t="str">
        <x:v>FW-E035</x:v>
      </x:c>
      <x:c r="B275" s="8" t="n">
        <x:v>46277</x:v>
      </x:c>
      <x:c r="C275" s="3" t="str">
        <x:v>INTERNAL</x:v>
      </x:c>
      <x:c r="D275" s="3" t="str">
        <x:v>Practice / pursuit allowance</x:v>
      </x:c>
      <x:c r="E275" s="12" t="n">
        <x:v>2</x:v>
      </x:c>
    </x:row>
    <x:row r="276" ht="40" customHeight="1">
      <x:c r="A276" s="6" t="str">
        <x:v>FW-E035</x:v>
      </x:c>
      <x:c r="B276" s="7" t="n">
        <x:v>46307</x:v>
      </x:c>
      <x:c r="C276" s="6" t="str">
        <x:v>FW-P153</x:v>
      </x:c>
      <x:c r="D276" s="6" t="str">
        <x:v>Contracted project work</x:v>
      </x:c>
      <x:c r="E276" s="11" t="n">
        <x:v>32.4</x:v>
      </x:c>
    </x:row>
    <x:row r="277" ht="40" customHeight="1">
      <x:c r="A277" s="3" t="str">
        <x:v>FW-E035</x:v>
      </x:c>
      <x:c r="B277" s="8" t="n">
        <x:v>46307</x:v>
      </x:c>
      <x:c r="C277" s="3" t="str">
        <x:v>INTERNAL</x:v>
      </x:c>
      <x:c r="D277" s="3" t="str">
        <x:v>Practice / pursuit allowance</x:v>
      </x:c>
      <x:c r="E277" s="12" t="n">
        <x:v>2</x:v>
      </x:c>
    </x:row>
    <x:row r="278" ht="40" customHeight="1">
      <x:c r="A278" s="6" t="str">
        <x:v>FW-E035</x:v>
      </x:c>
      <x:c r="B278" s="7" t="n">
        <x:v>46337</x:v>
      </x:c>
      <x:c r="C278" s="6" t="str">
        <x:v>FW-P153</x:v>
      </x:c>
      <x:c r="D278" s="6" t="str">
        <x:v>Contracted project work</x:v>
      </x:c>
      <x:c r="E278" s="11" t="n">
        <x:v>28</x:v>
      </x:c>
    </x:row>
    <x:row r="279" ht="40" customHeight="1">
      <x:c r="A279" s="3" t="str">
        <x:v>FW-E035</x:v>
      </x:c>
      <x:c r="B279" s="8" t="n">
        <x:v>46337</x:v>
      </x:c>
      <x:c r="C279" s="3" t="str">
        <x:v>INTERNAL</x:v>
      </x:c>
      <x:c r="D279" s="3" t="str">
        <x:v>Practice / pursuit allowance</x:v>
      </x:c>
      <x:c r="E279" s="12" t="n">
        <x:v>2</x:v>
      </x:c>
    </x:row>
    <x:row r="280" ht="40" customHeight="1">
      <x:c r="A280" s="6" t="str">
        <x:v>FW-E035</x:v>
      </x:c>
      <x:c r="B280" s="7" t="n">
        <x:v>46367</x:v>
      </x:c>
      <x:c r="C280" s="6" t="str">
        <x:v>FW-P153</x:v>
      </x:c>
      <x:c r="D280" s="6" t="str">
        <x:v>Contracted project work</x:v>
      </x:c>
      <x:c r="E280" s="11" t="n">
        <x:v>26</x:v>
      </x:c>
    </x:row>
    <x:row r="281" ht="40" customHeight="1">
      <x:c r="A281" s="3" t="str">
        <x:v>FW-E035</x:v>
      </x:c>
      <x:c r="B281" s="8" t="n">
        <x:v>46367</x:v>
      </x:c>
      <x:c r="C281" s="3" t="str">
        <x:v>INTERNAL</x:v>
      </x:c>
      <x:c r="D281" s="3" t="str">
        <x:v>Practice / pursuit allowance</x:v>
      </x:c>
      <x:c r="E281" s="12" t="n">
        <x:v>2</x:v>
      </x:c>
    </x:row>
    <x:row r="282" ht="40" customHeight="1">
      <x:c r="A282" s="6" t="str">
        <x:v>FW-E036</x:v>
      </x:c>
      <x:c r="B282" s="7" t="n">
        <x:v>46277</x:v>
      </x:c>
      <x:c r="C282" s="6" t="str">
        <x:v>FW-P154</x:v>
      </x:c>
      <x:c r="D282" s="6" t="str">
        <x:v>Contracted project work</x:v>
      </x:c>
      <x:c r="E282" s="11" t="n">
        <x:v>31.6</x:v>
      </x:c>
    </x:row>
    <x:row r="283" ht="40" customHeight="1">
      <x:c r="A283" s="3" t="str">
        <x:v>FW-E036</x:v>
      </x:c>
      <x:c r="B283" s="8" t="n">
        <x:v>46277</x:v>
      </x:c>
      <x:c r="C283" s="3" t="str">
        <x:v>INTERNAL</x:v>
      </x:c>
      <x:c r="D283" s="3" t="str">
        <x:v>Practice / pursuit allowance</x:v>
      </x:c>
      <x:c r="E283" s="12" t="n">
        <x:v>2</x:v>
      </x:c>
    </x:row>
    <x:row r="284" ht="40" customHeight="1">
      <x:c r="A284" s="6" t="str">
        <x:v>FW-E036</x:v>
      </x:c>
      <x:c r="B284" s="7" t="n">
        <x:v>46307</x:v>
      </x:c>
      <x:c r="C284" s="6" t="str">
        <x:v>FW-P154</x:v>
      </x:c>
      <x:c r="D284" s="6" t="str">
        <x:v>Contracted project work</x:v>
      </x:c>
      <x:c r="E284" s="11" t="n">
        <x:v>32.4</x:v>
      </x:c>
    </x:row>
    <x:row r="285" ht="40" customHeight="1">
      <x:c r="A285" s="3" t="str">
        <x:v>FW-E036</x:v>
      </x:c>
      <x:c r="B285" s="8" t="n">
        <x:v>46307</x:v>
      </x:c>
      <x:c r="C285" s="3" t="str">
        <x:v>INTERNAL</x:v>
      </x:c>
      <x:c r="D285" s="3" t="str">
        <x:v>Practice / pursuit allowance</x:v>
      </x:c>
      <x:c r="E285" s="12" t="n">
        <x:v>2</x:v>
      </x:c>
    </x:row>
    <x:row r="286" ht="40" customHeight="1">
      <x:c r="A286" s="6" t="str">
        <x:v>FW-E036</x:v>
      </x:c>
      <x:c r="B286" s="7" t="n">
        <x:v>46337</x:v>
      </x:c>
      <x:c r="C286" s="6" t="str">
        <x:v>FW-P154</x:v>
      </x:c>
      <x:c r="D286" s="6" t="str">
        <x:v>Contracted project work</x:v>
      </x:c>
      <x:c r="E286" s="11" t="n">
        <x:v>28</x:v>
      </x:c>
    </x:row>
    <x:row r="287" ht="40" customHeight="1">
      <x:c r="A287" s="3" t="str">
        <x:v>FW-E036</x:v>
      </x:c>
      <x:c r="B287" s="8" t="n">
        <x:v>46337</x:v>
      </x:c>
      <x:c r="C287" s="3" t="str">
        <x:v>INTERNAL</x:v>
      </x:c>
      <x:c r="D287" s="3" t="str">
        <x:v>Practice / pursuit allowance</x:v>
      </x:c>
      <x:c r="E287" s="12" t="n">
        <x:v>2</x:v>
      </x:c>
    </x:row>
    <x:row r="288" ht="40" customHeight="1">
      <x:c r="A288" s="6" t="str">
        <x:v>FW-E036</x:v>
      </x:c>
      <x:c r="B288" s="7" t="n">
        <x:v>46367</x:v>
      </x:c>
      <x:c r="C288" s="6" t="str">
        <x:v>FW-P154</x:v>
      </x:c>
      <x:c r="D288" s="6" t="str">
        <x:v>Contracted project work</x:v>
      </x:c>
      <x:c r="E288" s="11" t="n">
        <x:v>26</x:v>
      </x:c>
    </x:row>
    <x:row r="289" ht="40" customHeight="1">
      <x:c r="A289" s="3" t="str">
        <x:v>FW-E036</x:v>
      </x:c>
      <x:c r="B289" s="8" t="n">
        <x:v>46367</x:v>
      </x:c>
      <x:c r="C289" s="3" t="str">
        <x:v>INTERNAL</x:v>
      </x:c>
      <x:c r="D289" s="3" t="str">
        <x:v>Practice / pursuit allowance</x:v>
      </x:c>
      <x:c r="E289" s="12" t="n">
        <x:v>2</x:v>
      </x:c>
    </x:row>
    <x:row r="290" ht="40" customHeight="1">
      <x:c r="A290" s="6" t="str">
        <x:v>FW-E037</x:v>
      </x:c>
      <x:c r="B290" s="7" t="n">
        <x:v>46277</x:v>
      </x:c>
      <x:c r="C290" s="6" t="str">
        <x:v>FW-P155</x:v>
      </x:c>
      <x:c r="D290" s="6" t="str">
        <x:v>Contracted project work</x:v>
      </x:c>
      <x:c r="E290" s="11" t="n">
        <x:v>31.6</x:v>
      </x:c>
    </x:row>
    <x:row r="291" ht="40" customHeight="1">
      <x:c r="A291" s="3" t="str">
        <x:v>FW-E037</x:v>
      </x:c>
      <x:c r="B291" s="8" t="n">
        <x:v>46277</x:v>
      </x:c>
      <x:c r="C291" s="3" t="str">
        <x:v>INTERNAL</x:v>
      </x:c>
      <x:c r="D291" s="3" t="str">
        <x:v>Practice / pursuit allowance</x:v>
      </x:c>
      <x:c r="E291" s="12" t="n">
        <x:v>2</x:v>
      </x:c>
    </x:row>
    <x:row r="292" ht="40" customHeight="1">
      <x:c r="A292" s="6" t="str">
        <x:v>FW-E037</x:v>
      </x:c>
      <x:c r="B292" s="7" t="n">
        <x:v>46307</x:v>
      </x:c>
      <x:c r="C292" s="6" t="str">
        <x:v>FW-P155</x:v>
      </x:c>
      <x:c r="D292" s="6" t="str">
        <x:v>Contracted project work</x:v>
      </x:c>
      <x:c r="E292" s="11" t="n">
        <x:v>32.4</x:v>
      </x:c>
    </x:row>
    <x:row r="293" ht="40" customHeight="1">
      <x:c r="A293" s="3" t="str">
        <x:v>FW-E037</x:v>
      </x:c>
      <x:c r="B293" s="8" t="n">
        <x:v>46307</x:v>
      </x:c>
      <x:c r="C293" s="3" t="str">
        <x:v>INTERNAL</x:v>
      </x:c>
      <x:c r="D293" s="3" t="str">
        <x:v>Practice / pursuit allowance</x:v>
      </x:c>
      <x:c r="E293" s="12" t="n">
        <x:v>2</x:v>
      </x:c>
    </x:row>
    <x:row r="294" ht="40" customHeight="1">
      <x:c r="A294" s="6" t="str">
        <x:v>FW-E037</x:v>
      </x:c>
      <x:c r="B294" s="7" t="n">
        <x:v>46337</x:v>
      </x:c>
      <x:c r="C294" s="6" t="str">
        <x:v>FW-P155</x:v>
      </x:c>
      <x:c r="D294" s="6" t="str">
        <x:v>Contracted project work</x:v>
      </x:c>
      <x:c r="E294" s="11" t="n">
        <x:v>28</x:v>
      </x:c>
    </x:row>
    <x:row r="295" ht="40" customHeight="1">
      <x:c r="A295" s="3" t="str">
        <x:v>FW-E037</x:v>
      </x:c>
      <x:c r="B295" s="8" t="n">
        <x:v>46337</x:v>
      </x:c>
      <x:c r="C295" s="3" t="str">
        <x:v>INTERNAL</x:v>
      </x:c>
      <x:c r="D295" s="3" t="str">
        <x:v>Practice / pursuit allowance</x:v>
      </x:c>
      <x:c r="E295" s="12" t="n">
        <x:v>2</x:v>
      </x:c>
    </x:row>
    <x:row r="296" ht="40" customHeight="1">
      <x:c r="A296" s="6" t="str">
        <x:v>FW-E037</x:v>
      </x:c>
      <x:c r="B296" s="7" t="n">
        <x:v>46367</x:v>
      </x:c>
      <x:c r="C296" s="6" t="str">
        <x:v>FW-P155</x:v>
      </x:c>
      <x:c r="D296" s="6" t="str">
        <x:v>Contracted project work</x:v>
      </x:c>
      <x:c r="E296" s="11" t="n">
        <x:v>26</x:v>
      </x:c>
    </x:row>
    <x:row r="297" ht="40" customHeight="1">
      <x:c r="A297" s="3" t="str">
        <x:v>FW-E037</x:v>
      </x:c>
      <x:c r="B297" s="8" t="n">
        <x:v>46367</x:v>
      </x:c>
      <x:c r="C297" s="3" t="str">
        <x:v>INTERNAL</x:v>
      </x:c>
      <x:c r="D297" s="3" t="str">
        <x:v>Practice / pursuit allowance</x:v>
      </x:c>
      <x:c r="E297" s="12" t="n">
        <x:v>2</x:v>
      </x:c>
    </x:row>
    <x:row r="298" ht="40" customHeight="1">
      <x:c r="A298" s="6" t="str">
        <x:v>FW-E038</x:v>
      </x:c>
      <x:c r="B298" s="7" t="n">
        <x:v>46277</x:v>
      </x:c>
      <x:c r="C298" s="6" t="str">
        <x:v>FW-P156</x:v>
      </x:c>
      <x:c r="D298" s="6" t="str">
        <x:v>Contracted project work</x:v>
      </x:c>
      <x:c r="E298" s="11" t="n">
        <x:v>31.6</x:v>
      </x:c>
    </x:row>
    <x:row r="299" ht="40" customHeight="1">
      <x:c r="A299" s="3" t="str">
        <x:v>FW-E038</x:v>
      </x:c>
      <x:c r="B299" s="8" t="n">
        <x:v>46277</x:v>
      </x:c>
      <x:c r="C299" s="3" t="str">
        <x:v>INTERNAL</x:v>
      </x:c>
      <x:c r="D299" s="3" t="str">
        <x:v>Practice / pursuit allowance</x:v>
      </x:c>
      <x:c r="E299" s="12" t="n">
        <x:v>2</x:v>
      </x:c>
    </x:row>
    <x:row r="300" ht="40" customHeight="1">
      <x:c r="A300" s="6" t="str">
        <x:v>FW-E038</x:v>
      </x:c>
      <x:c r="B300" s="7" t="n">
        <x:v>46307</x:v>
      </x:c>
      <x:c r="C300" s="6" t="str">
        <x:v>FW-P156</x:v>
      </x:c>
      <x:c r="D300" s="6" t="str">
        <x:v>Contracted project work</x:v>
      </x:c>
      <x:c r="E300" s="11" t="n">
        <x:v>32.4</x:v>
      </x:c>
    </x:row>
    <x:row r="301" ht="40" customHeight="1">
      <x:c r="A301" s="3" t="str">
        <x:v>FW-E038</x:v>
      </x:c>
      <x:c r="B301" s="8" t="n">
        <x:v>46307</x:v>
      </x:c>
      <x:c r="C301" s="3" t="str">
        <x:v>INTERNAL</x:v>
      </x:c>
      <x:c r="D301" s="3" t="str">
        <x:v>Practice / pursuit allowance</x:v>
      </x:c>
      <x:c r="E301" s="12" t="n">
        <x:v>2</x:v>
      </x:c>
    </x:row>
    <x:row r="302" ht="40" customHeight="1">
      <x:c r="A302" s="6" t="str">
        <x:v>FW-E038</x:v>
      </x:c>
      <x:c r="B302" s="7" t="n">
        <x:v>46337</x:v>
      </x:c>
      <x:c r="C302" s="6" t="str">
        <x:v>FW-P156</x:v>
      </x:c>
      <x:c r="D302" s="6" t="str">
        <x:v>Contracted project work</x:v>
      </x:c>
      <x:c r="E302" s="11" t="n">
        <x:v>28</x:v>
      </x:c>
    </x:row>
    <x:row r="303" ht="40" customHeight="1">
      <x:c r="A303" s="3" t="str">
        <x:v>FW-E038</x:v>
      </x:c>
      <x:c r="B303" s="8" t="n">
        <x:v>46337</x:v>
      </x:c>
      <x:c r="C303" s="3" t="str">
        <x:v>INTERNAL</x:v>
      </x:c>
      <x:c r="D303" s="3" t="str">
        <x:v>Practice / pursuit allowance</x:v>
      </x:c>
      <x:c r="E303" s="12" t="n">
        <x:v>2</x:v>
      </x:c>
    </x:row>
    <x:row r="304" ht="40" customHeight="1">
      <x:c r="A304" s="6" t="str">
        <x:v>FW-E038</x:v>
      </x:c>
      <x:c r="B304" s="7" t="n">
        <x:v>46367</x:v>
      </x:c>
      <x:c r="C304" s="6" t="str">
        <x:v>FW-P156</x:v>
      </x:c>
      <x:c r="D304" s="6" t="str">
        <x:v>Contracted project work</x:v>
      </x:c>
      <x:c r="E304" s="11" t="n">
        <x:v>26</x:v>
      </x:c>
    </x:row>
    <x:row r="305" ht="40" customHeight="1">
      <x:c r="A305" s="3" t="str">
        <x:v>FW-E038</x:v>
      </x:c>
      <x:c r="B305" s="8" t="n">
        <x:v>46367</x:v>
      </x:c>
      <x:c r="C305" s="3" t="str">
        <x:v>INTERNAL</x:v>
      </x:c>
      <x:c r="D305" s="3" t="str">
        <x:v>Practice / pursuit allowance</x:v>
      </x:c>
      <x:c r="E305" s="12" t="n">
        <x:v>2</x:v>
      </x:c>
    </x:row>
    <x:row r="306" ht="40" customHeight="1">
      <x:c r="A306" s="6" t="str">
        <x:v>FW-E039</x:v>
      </x:c>
      <x:c r="B306" s="7" t="n">
        <x:v>46277</x:v>
      </x:c>
      <x:c r="C306" s="6" t="str">
        <x:v>FW-P157</x:v>
      </x:c>
      <x:c r="D306" s="6" t="str">
        <x:v>Contracted project work</x:v>
      </x:c>
      <x:c r="E306" s="11" t="n">
        <x:v>31.6</x:v>
      </x:c>
    </x:row>
    <x:row r="307" ht="40" customHeight="1">
      <x:c r="A307" s="3" t="str">
        <x:v>FW-E039</x:v>
      </x:c>
      <x:c r="B307" s="8" t="n">
        <x:v>46277</x:v>
      </x:c>
      <x:c r="C307" s="3" t="str">
        <x:v>INTERNAL</x:v>
      </x:c>
      <x:c r="D307" s="3" t="str">
        <x:v>Practice / pursuit allowance</x:v>
      </x:c>
      <x:c r="E307" s="12" t="n">
        <x:v>2</x:v>
      </x:c>
    </x:row>
    <x:row r="308" ht="40" customHeight="1">
      <x:c r="A308" s="6" t="str">
        <x:v>FW-E039</x:v>
      </x:c>
      <x:c r="B308" s="7" t="n">
        <x:v>46307</x:v>
      </x:c>
      <x:c r="C308" s="6" t="str">
        <x:v>FW-P157</x:v>
      </x:c>
      <x:c r="D308" s="6" t="str">
        <x:v>Contracted project work</x:v>
      </x:c>
      <x:c r="E308" s="11" t="n">
        <x:v>32.4</x:v>
      </x:c>
    </x:row>
    <x:row r="309" ht="40" customHeight="1">
      <x:c r="A309" s="3" t="str">
        <x:v>FW-E039</x:v>
      </x:c>
      <x:c r="B309" s="8" t="n">
        <x:v>46307</x:v>
      </x:c>
      <x:c r="C309" s="3" t="str">
        <x:v>INTERNAL</x:v>
      </x:c>
      <x:c r="D309" s="3" t="str">
        <x:v>Practice / pursuit allowance</x:v>
      </x:c>
      <x:c r="E309" s="12" t="n">
        <x:v>2</x:v>
      </x:c>
    </x:row>
    <x:row r="310" ht="40" customHeight="1">
      <x:c r="A310" s="6" t="str">
        <x:v>FW-E039</x:v>
      </x:c>
      <x:c r="B310" s="7" t="n">
        <x:v>46337</x:v>
      </x:c>
      <x:c r="C310" s="6" t="str">
        <x:v>FW-P157</x:v>
      </x:c>
      <x:c r="D310" s="6" t="str">
        <x:v>Contracted project work</x:v>
      </x:c>
      <x:c r="E310" s="11" t="n">
        <x:v>28</x:v>
      </x:c>
    </x:row>
    <x:row r="311" ht="40" customHeight="1">
      <x:c r="A311" s="3" t="str">
        <x:v>FW-E039</x:v>
      </x:c>
      <x:c r="B311" s="8" t="n">
        <x:v>46337</x:v>
      </x:c>
      <x:c r="C311" s="3" t="str">
        <x:v>INTERNAL</x:v>
      </x:c>
      <x:c r="D311" s="3" t="str">
        <x:v>Practice / pursuit allowance</x:v>
      </x:c>
      <x:c r="E311" s="12" t="n">
        <x:v>2</x:v>
      </x:c>
    </x:row>
    <x:row r="312" ht="40" customHeight="1">
      <x:c r="A312" s="6" t="str">
        <x:v>FW-E039</x:v>
      </x:c>
      <x:c r="B312" s="7" t="n">
        <x:v>46367</x:v>
      </x:c>
      <x:c r="C312" s="6" t="str">
        <x:v>FW-P157</x:v>
      </x:c>
      <x:c r="D312" s="6" t="str">
        <x:v>Contracted project work</x:v>
      </x:c>
      <x:c r="E312" s="11" t="n">
        <x:v>26</x:v>
      </x:c>
    </x:row>
    <x:row r="313" ht="40" customHeight="1">
      <x:c r="A313" s="3" t="str">
        <x:v>FW-E039</x:v>
      </x:c>
      <x:c r="B313" s="8" t="n">
        <x:v>46367</x:v>
      </x:c>
      <x:c r="C313" s="3" t="str">
        <x:v>INTERNAL</x:v>
      </x:c>
      <x:c r="D313" s="3" t="str">
        <x:v>Practice / pursuit allowance</x:v>
      </x:c>
      <x:c r="E313" s="12" t="n">
        <x:v>2</x:v>
      </x:c>
    </x:row>
    <x:row r="314" ht="40" customHeight="1">
      <x:c r="A314" s="6" t="str">
        <x:v>FW-E040</x:v>
      </x:c>
      <x:c r="B314" s="7" t="n">
        <x:v>46277</x:v>
      </x:c>
      <x:c r="C314" s="6" t="str">
        <x:v>FW-P158</x:v>
      </x:c>
      <x:c r="D314" s="6" t="str">
        <x:v>Contracted project work</x:v>
      </x:c>
      <x:c r="E314" s="11" t="n">
        <x:v>31.6</x:v>
      </x:c>
    </x:row>
    <x:row r="315" ht="40" customHeight="1">
      <x:c r="A315" s="3" t="str">
        <x:v>FW-E040</x:v>
      </x:c>
      <x:c r="B315" s="8" t="n">
        <x:v>46277</x:v>
      </x:c>
      <x:c r="C315" s="3" t="str">
        <x:v>INTERNAL</x:v>
      </x:c>
      <x:c r="D315" s="3" t="str">
        <x:v>Practice / pursuit allowance</x:v>
      </x:c>
      <x:c r="E315" s="12" t="n">
        <x:v>2</x:v>
      </x:c>
    </x:row>
    <x:row r="316" ht="40" customHeight="1">
      <x:c r="A316" s="6" t="str">
        <x:v>FW-E040</x:v>
      </x:c>
      <x:c r="B316" s="7" t="n">
        <x:v>46307</x:v>
      </x:c>
      <x:c r="C316" s="6" t="str">
        <x:v>FW-P158</x:v>
      </x:c>
      <x:c r="D316" s="6" t="str">
        <x:v>Contracted project work</x:v>
      </x:c>
      <x:c r="E316" s="11" t="n">
        <x:v>32.4</x:v>
      </x:c>
    </x:row>
    <x:row r="317" ht="40" customHeight="1">
      <x:c r="A317" s="3" t="str">
        <x:v>FW-E040</x:v>
      </x:c>
      <x:c r="B317" s="8" t="n">
        <x:v>46307</x:v>
      </x:c>
      <x:c r="C317" s="3" t="str">
        <x:v>INTERNAL</x:v>
      </x:c>
      <x:c r="D317" s="3" t="str">
        <x:v>Practice / pursuit allowance</x:v>
      </x:c>
      <x:c r="E317" s="12" t="n">
        <x:v>2</x:v>
      </x:c>
    </x:row>
    <x:row r="318" ht="40" customHeight="1">
      <x:c r="A318" s="6" t="str">
        <x:v>FW-E040</x:v>
      </x:c>
      <x:c r="B318" s="7" t="n">
        <x:v>46337</x:v>
      </x:c>
      <x:c r="C318" s="6" t="str">
        <x:v>FW-P158</x:v>
      </x:c>
      <x:c r="D318" s="6" t="str">
        <x:v>Contracted project work</x:v>
      </x:c>
      <x:c r="E318" s="11" t="n">
        <x:v>28</x:v>
      </x:c>
    </x:row>
    <x:row r="319" ht="40" customHeight="1">
      <x:c r="A319" s="3" t="str">
        <x:v>FW-E040</x:v>
      </x:c>
      <x:c r="B319" s="8" t="n">
        <x:v>46337</x:v>
      </x:c>
      <x:c r="C319" s="3" t="str">
        <x:v>INTERNAL</x:v>
      </x:c>
      <x:c r="D319" s="3" t="str">
        <x:v>Practice / pursuit allowance</x:v>
      </x:c>
      <x:c r="E319" s="12" t="n">
        <x:v>2</x:v>
      </x:c>
    </x:row>
    <x:row r="320" ht="40" customHeight="1">
      <x:c r="A320" s="6" t="str">
        <x:v>FW-E040</x:v>
      </x:c>
      <x:c r="B320" s="7" t="n">
        <x:v>46367</x:v>
      </x:c>
      <x:c r="C320" s="6" t="str">
        <x:v>FW-P158</x:v>
      </x:c>
      <x:c r="D320" s="6" t="str">
        <x:v>Contracted project work</x:v>
      </x:c>
      <x:c r="E320" s="11" t="n">
        <x:v>26</x:v>
      </x:c>
    </x:row>
    <x:row r="321" ht="40" customHeight="1">
      <x:c r="A321" s="3" t="str">
        <x:v>FW-E040</x:v>
      </x:c>
      <x:c r="B321" s="8" t="n">
        <x:v>46367</x:v>
      </x:c>
      <x:c r="C321" s="3" t="str">
        <x:v>INTERNAL</x:v>
      </x:c>
      <x:c r="D321" s="3" t="str">
        <x:v>Practice / pursuit allowance</x:v>
      </x:c>
      <x:c r="E321" s="12" t="n">
        <x:v>2</x:v>
      </x:c>
    </x:row>
    <x:row r="322" ht="40" customHeight="1">
      <x:c r="A322" s="6" t="str">
        <x:v>FW-E041</x:v>
      </x:c>
      <x:c r="B322" s="7" t="n">
        <x:v>46277</x:v>
      </x:c>
      <x:c r="C322" s="6" t="str">
        <x:v>FW-P159</x:v>
      </x:c>
      <x:c r="D322" s="6" t="str">
        <x:v>Contracted project work</x:v>
      </x:c>
      <x:c r="E322" s="11" t="n">
        <x:v>31.6</x:v>
      </x:c>
    </x:row>
    <x:row r="323" ht="40" customHeight="1">
      <x:c r="A323" s="3" t="str">
        <x:v>FW-E041</x:v>
      </x:c>
      <x:c r="B323" s="8" t="n">
        <x:v>46277</x:v>
      </x:c>
      <x:c r="C323" s="3" t="str">
        <x:v>INTERNAL</x:v>
      </x:c>
      <x:c r="D323" s="3" t="str">
        <x:v>Practice / pursuit allowance</x:v>
      </x:c>
      <x:c r="E323" s="12" t="n">
        <x:v>2</x:v>
      </x:c>
    </x:row>
    <x:row r="324" ht="40" customHeight="1">
      <x:c r="A324" s="6" t="str">
        <x:v>FW-E041</x:v>
      </x:c>
      <x:c r="B324" s="7" t="n">
        <x:v>46307</x:v>
      </x:c>
      <x:c r="C324" s="6" t="str">
        <x:v>FW-P159</x:v>
      </x:c>
      <x:c r="D324" s="6" t="str">
        <x:v>Contracted project work</x:v>
      </x:c>
      <x:c r="E324" s="11" t="n">
        <x:v>32.4</x:v>
      </x:c>
    </x:row>
    <x:row r="325" ht="40" customHeight="1">
      <x:c r="A325" s="3" t="str">
        <x:v>FW-E041</x:v>
      </x:c>
      <x:c r="B325" s="8" t="n">
        <x:v>46307</x:v>
      </x:c>
      <x:c r="C325" s="3" t="str">
        <x:v>INTERNAL</x:v>
      </x:c>
      <x:c r="D325" s="3" t="str">
        <x:v>Practice / pursuit allowance</x:v>
      </x:c>
      <x:c r="E325" s="12" t="n">
        <x:v>2</x:v>
      </x:c>
    </x:row>
    <x:row r="326" ht="40" customHeight="1">
      <x:c r="A326" s="6" t="str">
        <x:v>FW-E041</x:v>
      </x:c>
      <x:c r="B326" s="7" t="n">
        <x:v>46337</x:v>
      </x:c>
      <x:c r="C326" s="6" t="str">
        <x:v>FW-P159</x:v>
      </x:c>
      <x:c r="D326" s="6" t="str">
        <x:v>Contracted project work</x:v>
      </x:c>
      <x:c r="E326" s="11" t="n">
        <x:v>28</x:v>
      </x:c>
    </x:row>
    <x:row r="327" ht="40" customHeight="1">
      <x:c r="A327" s="3" t="str">
        <x:v>FW-E041</x:v>
      </x:c>
      <x:c r="B327" s="8" t="n">
        <x:v>46337</x:v>
      </x:c>
      <x:c r="C327" s="3" t="str">
        <x:v>INTERNAL</x:v>
      </x:c>
      <x:c r="D327" s="3" t="str">
        <x:v>Practice / pursuit allowance</x:v>
      </x:c>
      <x:c r="E327" s="12" t="n">
        <x:v>2</x:v>
      </x:c>
    </x:row>
    <x:row r="328" ht="40" customHeight="1">
      <x:c r="A328" s="6" t="str">
        <x:v>FW-E041</x:v>
      </x:c>
      <x:c r="B328" s="7" t="n">
        <x:v>46367</x:v>
      </x:c>
      <x:c r="C328" s="6" t="str">
        <x:v>FW-P159</x:v>
      </x:c>
      <x:c r="D328" s="6" t="str">
        <x:v>Contracted project work</x:v>
      </x:c>
      <x:c r="E328" s="11" t="n">
        <x:v>26</x:v>
      </x:c>
    </x:row>
    <x:row r="329" ht="40" customHeight="1">
      <x:c r="A329" s="3" t="str">
        <x:v>FW-E041</x:v>
      </x:c>
      <x:c r="B329" s="8" t="n">
        <x:v>46367</x:v>
      </x:c>
      <x:c r="C329" s="3" t="str">
        <x:v>INTERNAL</x:v>
      </x:c>
      <x:c r="D329" s="3" t="str">
        <x:v>Practice / pursuit allowance</x:v>
      </x:c>
      <x:c r="E329" s="12" t="n">
        <x:v>2</x:v>
      </x:c>
    </x:row>
    <x:row r="330" ht="40" customHeight="1">
      <x:c r="A330" s="6" t="str">
        <x:v>FW-E042</x:v>
      </x:c>
      <x:c r="B330" s="7" t="n">
        <x:v>46277</x:v>
      </x:c>
      <x:c r="C330" s="6" t="str">
        <x:v>INTERNAL</x:v>
      </x:c>
      <x:c r="D330" s="6" t="str">
        <x:v>Studio operations</x:v>
      </x:c>
      <x:c r="E330" s="11" t="n">
        <x:v>33.6</x:v>
      </x:c>
    </x:row>
    <x:row r="331" ht="40" customHeight="1">
      <x:c r="A331" s="3" t="str">
        <x:v>FW-E042</x:v>
      </x:c>
      <x:c r="B331" s="8" t="n">
        <x:v>46307</x:v>
      </x:c>
      <x:c r="C331" s="3" t="str">
        <x:v>INTERNAL</x:v>
      </x:c>
      <x:c r="D331" s="3" t="str">
        <x:v>Studio operations</x:v>
      </x:c>
      <x:c r="E331" s="12" t="n">
        <x:v>34.4</x:v>
      </x:c>
    </x:row>
    <x:row r="332" ht="40" customHeight="1">
      <x:c r="A332" s="6" t="str">
        <x:v>FW-E042</x:v>
      </x:c>
      <x:c r="B332" s="7" t="n">
        <x:v>46337</x:v>
      </x:c>
      <x:c r="C332" s="6" t="str">
        <x:v>INTERNAL</x:v>
      </x:c>
      <x:c r="D332" s="6" t="str">
        <x:v>Studio operations</x:v>
      </x:c>
      <x:c r="E332" s="11" t="n">
        <x:v>30</x:v>
      </x:c>
    </x:row>
    <x:row r="333" ht="40" customHeight="1">
      <x:c r="A333" s="3" t="str">
        <x:v>FW-E042</x:v>
      </x:c>
      <x:c r="B333" s="8" t="n">
        <x:v>46367</x:v>
      </x:c>
      <x:c r="C333" s="3" t="str">
        <x:v>INTERNAL</x:v>
      </x:c>
      <x:c r="D333" s="3" t="str">
        <x:v>Studio operations</x:v>
      </x:c>
      <x:c r="E333" s="12" t="n">
        <x:v>28</x:v>
      </x:c>
    </x:row>
    <x:row r="334" ht="40" customHeight="1">
      <x:c r="A334" s="6" t="str">
        <x:v>FW-E043</x:v>
      </x:c>
      <x:c r="B334" s="7" t="n">
        <x:v>46277</x:v>
      </x:c>
      <x:c r="C334" s="6" t="str">
        <x:v>INTERNAL</x:v>
      </x:c>
      <x:c r="D334" s="6" t="str">
        <x:v>Studio operations</x:v>
      </x:c>
      <x:c r="E334" s="11" t="n">
        <x:v>33.2</x:v>
      </x:c>
    </x:row>
    <x:row r="335" ht="40" customHeight="1">
      <x:c r="A335" s="3" t="str">
        <x:v>FW-E043</x:v>
      </x:c>
      <x:c r="B335" s="8" t="n">
        <x:v>46307</x:v>
      </x:c>
      <x:c r="C335" s="3" t="str">
        <x:v>INTERNAL</x:v>
      </x:c>
      <x:c r="D335" s="3" t="str">
        <x:v>Studio operations</x:v>
      </x:c>
      <x:c r="E335" s="12" t="n">
        <x:v>34</x:v>
      </x:c>
    </x:row>
    <x:row r="336" ht="40" customHeight="1">
      <x:c r="A336" s="6" t="str">
        <x:v>FW-E043</x:v>
      </x:c>
      <x:c r="B336" s="7" t="n">
        <x:v>46337</x:v>
      </x:c>
      <x:c r="C336" s="6" t="str">
        <x:v>INTERNAL</x:v>
      </x:c>
      <x:c r="D336" s="6" t="str">
        <x:v>Studio operations</x:v>
      </x:c>
      <x:c r="E336" s="11" t="n">
        <x:v>30</x:v>
      </x:c>
    </x:row>
    <x:row r="337" ht="40" customHeight="1">
      <x:c r="A337" s="3" t="str">
        <x:v>FW-E043</x:v>
      </x:c>
      <x:c r="B337" s="8" t="n">
        <x:v>46367</x:v>
      </x:c>
      <x:c r="C337" s="3" t="str">
        <x:v>INTERNAL</x:v>
      </x:c>
      <x:c r="D337" s="3" t="str">
        <x:v>Studio operations</x:v>
      </x:c>
      <x:c r="E337" s="12" t="n">
        <x:v>28</x:v>
      </x:c>
    </x:row>
    <x:row r="338" ht="40" customHeight="1">
      <x:c r="A338" s="6" t="str">
        <x:v>FW-E044</x:v>
      </x:c>
      <x:c r="B338" s="7" t="n">
        <x:v>46277</x:v>
      </x:c>
      <x:c r="C338" s="6" t="str">
        <x:v>INTERNAL</x:v>
      </x:c>
      <x:c r="D338" s="6" t="str">
        <x:v>Studio operations</x:v>
      </x:c>
      <x:c r="E338" s="11" t="n">
        <x:v>33.2</x:v>
      </x:c>
    </x:row>
    <x:row r="339" ht="40" customHeight="1">
      <x:c r="A339" s="3" t="str">
        <x:v>FW-E044</x:v>
      </x:c>
      <x:c r="B339" s="8" t="n">
        <x:v>46307</x:v>
      </x:c>
      <x:c r="C339" s="3" t="str">
        <x:v>INTERNAL</x:v>
      </x:c>
      <x:c r="D339" s="3" t="str">
        <x:v>Studio operations</x:v>
      </x:c>
      <x:c r="E339" s="12" t="n">
        <x:v>34</x:v>
      </x:c>
    </x:row>
    <x:row r="340" ht="40" customHeight="1">
      <x:c r="A340" s="6" t="str">
        <x:v>FW-E044</x:v>
      </x:c>
      <x:c r="B340" s="7" t="n">
        <x:v>46337</x:v>
      </x:c>
      <x:c r="C340" s="6" t="str">
        <x:v>INTERNAL</x:v>
      </x:c>
      <x:c r="D340" s="6" t="str">
        <x:v>Studio operations</x:v>
      </x:c>
      <x:c r="E340" s="11" t="n">
        <x:v>30</x:v>
      </x:c>
    </x:row>
    <x:row r="341" ht="40" customHeight="1">
      <x:c r="A341" s="3" t="str">
        <x:v>FW-E044</x:v>
      </x:c>
      <x:c r="B341" s="8" t="n">
        <x:v>46367</x:v>
      </x:c>
      <x:c r="C341" s="3" t="str">
        <x:v>INTERNAL</x:v>
      </x:c>
      <x:c r="D341" s="3" t="str">
        <x:v>Studio operations</x:v>
      </x:c>
      <x:c r="E341" s="12" t="n">
        <x:v>28</x:v>
      </x:c>
    </x:row>
    <x:row r="342" ht="40" customHeight="1">
      <x:c r="A342" s="6" t="str">
        <x:v>FW-E045</x:v>
      </x:c>
      <x:c r="B342" s="7" t="n">
        <x:v>46277</x:v>
      </x:c>
      <x:c r="C342" s="6" t="str">
        <x:v>INTERNAL</x:v>
      </x:c>
      <x:c r="D342" s="6" t="str">
        <x:v>Studio operations</x:v>
      </x:c>
      <x:c r="E342" s="11" t="n">
        <x:v>33.2</x:v>
      </x:c>
    </x:row>
    <x:row r="343" ht="40" customHeight="1">
      <x:c r="A343" s="3" t="str">
        <x:v>FW-E045</x:v>
      </x:c>
      <x:c r="B343" s="8" t="n">
        <x:v>46307</x:v>
      </x:c>
      <x:c r="C343" s="3" t="str">
        <x:v>INTERNAL</x:v>
      </x:c>
      <x:c r="D343" s="3" t="str">
        <x:v>Studio operations</x:v>
      </x:c>
      <x:c r="E343" s="12" t="n">
        <x:v>34</x:v>
      </x:c>
    </x:row>
    <x:row r="344" ht="40" customHeight="1">
      <x:c r="A344" s="6" t="str">
        <x:v>FW-E045</x:v>
      </x:c>
      <x:c r="B344" s="7" t="n">
        <x:v>46337</x:v>
      </x:c>
      <x:c r="C344" s="6" t="str">
        <x:v>INTERNAL</x:v>
      </x:c>
      <x:c r="D344" s="6" t="str">
        <x:v>Studio operations</x:v>
      </x:c>
      <x:c r="E344" s="11" t="n">
        <x:v>30</x:v>
      </x:c>
    </x:row>
    <x:row r="345" ht="40" customHeight="1">
      <x:c r="A345" s="3" t="str">
        <x:v>FW-E045</x:v>
      </x:c>
      <x:c r="B345" s="8" t="n">
        <x:v>46367</x:v>
      </x:c>
      <x:c r="C345" s="3" t="str">
        <x:v>INTERNAL</x:v>
      </x:c>
      <x:c r="D345" s="3" t="str">
        <x:v>Studio operations</x:v>
      </x:c>
      <x:c r="E345" s="12" t="n">
        <x:v>28</x:v>
      </x:c>
    </x:row>
    <x:row r="346" ht="40" customHeight="1">
      <x:c r="A346" s="6" t="str">
        <x:v>FW-E046</x:v>
      </x:c>
      <x:c r="B346" s="7" t="n">
        <x:v>46277</x:v>
      </x:c>
      <x:c r="C346" s="6" t="str">
        <x:v>INTERNAL</x:v>
      </x:c>
      <x:c r="D346" s="6" t="str">
        <x:v>Studio operations</x:v>
      </x:c>
      <x:c r="E346" s="11" t="n">
        <x:v>33.2</x:v>
      </x:c>
    </x:row>
    <x:row r="347" ht="40" customHeight="1">
      <x:c r="A347" s="3" t="str">
        <x:v>FW-E046</x:v>
      </x:c>
      <x:c r="B347" s="8" t="n">
        <x:v>46307</x:v>
      </x:c>
      <x:c r="C347" s="3" t="str">
        <x:v>INTERNAL</x:v>
      </x:c>
      <x:c r="D347" s="3" t="str">
        <x:v>Studio operations</x:v>
      </x:c>
      <x:c r="E347" s="12" t="n">
        <x:v>34</x:v>
      </x:c>
    </x:row>
    <x:row r="348" ht="40" customHeight="1">
      <x:c r="A348" s="6" t="str">
        <x:v>FW-E046</x:v>
      </x:c>
      <x:c r="B348" s="7" t="n">
        <x:v>46337</x:v>
      </x:c>
      <x:c r="C348" s="6" t="str">
        <x:v>INTERNAL</x:v>
      </x:c>
      <x:c r="D348" s="6" t="str">
        <x:v>Studio operations</x:v>
      </x:c>
      <x:c r="E348" s="11" t="n">
        <x:v>30</x:v>
      </x:c>
    </x:row>
    <x:row r="349" ht="40" customHeight="1">
      <x:c r="A349" s="3" t="str">
        <x:v>FW-E046</x:v>
      </x:c>
      <x:c r="B349" s="8" t="n">
        <x:v>46367</x:v>
      </x:c>
      <x:c r="C349" s="3" t="str">
        <x:v>INTERNAL</x:v>
      </x:c>
      <x:c r="D349" s="3" t="str">
        <x:v>Studio operations</x:v>
      </x:c>
      <x:c r="E349" s="12" t="n">
        <x:v>28</x:v>
      </x:c>
    </x:row>
    <x:row r="350" ht="40" customHeight="1">
      <x:c r="A350" s="6" t="str">
        <x:v>FW-E047</x:v>
      </x:c>
      <x:c r="B350" s="7" t="n">
        <x:v>46277</x:v>
      </x:c>
      <x:c r="C350" s="6" t="str">
        <x:v>INTERNAL</x:v>
      </x:c>
      <x:c r="D350" s="6" t="str">
        <x:v>Studio operations</x:v>
      </x:c>
      <x:c r="E350" s="11" t="n">
        <x:v>33.2</x:v>
      </x:c>
    </x:row>
    <x:row r="351" ht="40" customHeight="1">
      <x:c r="A351" s="3" t="str">
        <x:v>FW-E047</x:v>
      </x:c>
      <x:c r="B351" s="8" t="n">
        <x:v>46307</x:v>
      </x:c>
      <x:c r="C351" s="3" t="str">
        <x:v>INTERNAL</x:v>
      </x:c>
      <x:c r="D351" s="3" t="str">
        <x:v>Studio operations</x:v>
      </x:c>
      <x:c r="E351" s="12" t="n">
        <x:v>34</x:v>
      </x:c>
    </x:row>
    <x:row r="352" ht="40" customHeight="1">
      <x:c r="A352" s="6" t="str">
        <x:v>FW-E047</x:v>
      </x:c>
      <x:c r="B352" s="7" t="n">
        <x:v>46337</x:v>
      </x:c>
      <x:c r="C352" s="6" t="str">
        <x:v>INTERNAL</x:v>
      </x:c>
      <x:c r="D352" s="6" t="str">
        <x:v>Studio operations</x:v>
      </x:c>
      <x:c r="E352" s="11" t="n">
        <x:v>30</x:v>
      </x:c>
    </x:row>
    <x:row r="353" ht="40" customHeight="1">
      <x:c r="A353" s="3" t="str">
        <x:v>FW-E047</x:v>
      </x:c>
      <x:c r="B353" s="8" t="n">
        <x:v>46367</x:v>
      </x:c>
      <x:c r="C353" s="3" t="str">
        <x:v>INTERNAL</x:v>
      </x:c>
      <x:c r="D353" s="3" t="str">
        <x:v>Studio operations</x:v>
      </x:c>
      <x:c r="E353" s="12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3cd3bfdeda104dd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4" customHeight="1">
      <x:c r="A1" s="5" t="str">
        <x:v>Snapshot date</x:v>
      </x:c>
      <x:c r="B1" s="5" t="str">
        <x:v>Gross weekly hours</x:v>
      </x:c>
      <x:c r="C1" s="5" t="str">
        <x:v>Committed hours</x:v>
      </x:c>
      <x:c r="D1" s="5" t="str">
        <x:v>Available hours</x:v>
      </x:c>
      <x:c r="E1" s="5" t="str">
        <x:v>Firm allocation</x:v>
      </x:c>
    </x:row>
    <x:row r="2" ht="40" customHeight="1">
      <x:c r="A2" s="7" t="n">
        <x:v>46277</x:v>
      </x:c>
      <x:c r="B2" s="11" t="n">
        <x:f>SUMIFS('Capacity'!$D$2:$D$189,'Capacity'!$C$2:$C$189,A2)</x:f>
        <x:v>1880</x:v>
      </x:c>
      <x:c r="C2" s="11" t="n">
        <x:f>SUMIFS('Capacity'!$E$2:$E$189,'Capacity'!$C$2:$C$189,A2)</x:f>
        <x:v>1541.5999999999997</x:v>
      </x:c>
      <x:c r="D2" s="11" t="n">
        <x:f>B2-C2</x:f>
        <x:v>338.4000000000003</x:v>
      </x:c>
      <x:c r="E2" s="13" t="n">
        <x:f>C2/B2</x:f>
        <x:v>0.8199999999999998</x:v>
      </x:c>
    </x:row>
    <x:row r="3" ht="40" customHeight="1">
      <x:c r="A3" s="8" t="n">
        <x:v>46307</x:v>
      </x:c>
      <x:c r="B3" s="12" t="n">
        <x:f>SUMIFS('Capacity'!$D$2:$D$189,'Capacity'!$C$2:$C$189,A3)</x:f>
        <x:v>1880</x:v>
      </x:c>
      <x:c r="C3" s="12" t="n">
        <x:f>SUMIFS('Capacity'!$E$2:$E$189,'Capacity'!$C$2:$C$189,A3)</x:f>
        <x:v>1579.2000000000005</x:v>
      </x:c>
      <x:c r="D3" s="12" t="n">
        <x:f>B3-C3</x:f>
        <x:v>300.7999999999995</x:v>
      </x:c>
      <x:c r="E3" s="14" t="n">
        <x:f>C3/B3</x:f>
        <x:v>0.8400000000000003</x:v>
      </x:c>
    </x:row>
    <x:row r="4" ht="40" customHeight="1">
      <x:c r="A4" s="7" t="n">
        <x:v>46337</x:v>
      </x:c>
      <x:c r="B4" s="11" t="n">
        <x:f>SUMIFS('Capacity'!$D$2:$D$189,'Capacity'!$C$2:$C$189,A4)</x:f>
        <x:v>1880</x:v>
      </x:c>
      <x:c r="C4" s="11" t="n">
        <x:f>SUMIFS('Capacity'!$E$2:$E$189,'Capacity'!$C$2:$C$189,A4)</x:f>
        <x:v>1372.3999999999996</x:v>
      </x:c>
      <x:c r="D4" s="11" t="n">
        <x:f>B4-C4</x:f>
        <x:v>507.60000000000036</x:v>
      </x:c>
      <x:c r="E4" s="13" t="n">
        <x:f>C4/B4</x:f>
        <x:v>0.7299999999999998</x:v>
      </x:c>
    </x:row>
    <x:row r="5" ht="40" customHeight="1">
      <x:c r="A5" s="8" t="n">
        <x:v>46367</x:v>
      </x:c>
      <x:c r="B5" s="12" t="n">
        <x:f>SUMIFS('Capacity'!$D$2:$D$189,'Capacity'!$C$2:$C$189,A5)</x:f>
        <x:v>1880</x:v>
      </x:c>
      <x:c r="C5" s="12" t="n">
        <x:f>SUMIFS('Capacity'!$E$2:$E$189,'Capacity'!$C$2:$C$189,A5)</x:f>
        <x:v>1278.3999999999996</x:v>
      </x:c>
      <x:c r="D5" s="12" t="n">
        <x:f>B5-C5</x:f>
        <x:v>601.6000000000004</x:v>
      </x:c>
      <x:c r="E5" s="14" t="n">
        <x:f>C5/B5</x:f>
        <x:v>0.6799999999999998</x:v>
      </x:c>
    </x:row>
  </x:sheetData>
  <x:pageMargins left="0.7" right="0.7" top="0.75" bottom="0.75" header="0.3" footer="0.3"/>
  <x:tableParts count="1">
    <x:tablePart xmlns:r="http://schemas.openxmlformats.org/officeDocument/2006/relationships" r:id="Rddf01c7828b649aa"/>
  </x:tableParts>
</x:worksheet>
</file>